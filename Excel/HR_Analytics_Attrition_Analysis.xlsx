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dvance Excel\project\"/>
    </mc:Choice>
  </mc:AlternateContent>
  <xr:revisionPtr revIDLastSave="0" documentId="13_ncr:1_{54F1B2E7-23EA-41EE-8209-AF4389394AE2}" xr6:coauthVersionLast="47" xr6:coauthVersionMax="47" xr10:uidLastSave="{00000000-0000-0000-0000-000000000000}"/>
  <bookViews>
    <workbookView xWindow="-120" yWindow="-120" windowWidth="20730" windowHeight="11160" activeTab="2" xr2:uid="{10D90F50-96F1-4F6F-98CB-6D36C4ACFCE0}"/>
  </bookViews>
  <sheets>
    <sheet name="Employee Raw Data" sheetId="1" r:id="rId1"/>
    <sheet name="Data Preparation" sheetId="7" r:id="rId2"/>
    <sheet name="Pivot Analysis" sheetId="8" r:id="rId3"/>
    <sheet name=" Dashboard" sheetId="9" r:id="rId4"/>
  </sheet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B5" i="8" l="1"/>
  <c r="K5" i="9" s="1"/>
  <c r="B3" i="8"/>
  <c r="E5" i="9" s="1"/>
  <c r="B2" i="8"/>
  <c r="B5" i="9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2" i="7"/>
  <c r="B4" i="8" l="1"/>
  <c r="H5" i="9" s="1"/>
</calcChain>
</file>

<file path=xl/sharedStrings.xml><?xml version="1.0" encoding="utf-8"?>
<sst xmlns="http://schemas.openxmlformats.org/spreadsheetml/2006/main" count="6623" uniqueCount="989">
  <si>
    <t>Employee ID</t>
  </si>
  <si>
    <t>Employee Name</t>
  </si>
  <si>
    <t>Age</t>
  </si>
  <si>
    <t>Gender</t>
  </si>
  <si>
    <t>City</t>
  </si>
  <si>
    <t>Department</t>
  </si>
  <si>
    <t>Job Role</t>
  </si>
  <si>
    <t>Salary</t>
  </si>
  <si>
    <t>Experience Years</t>
  </si>
  <si>
    <t>Education</t>
  </si>
  <si>
    <t>Attrition</t>
  </si>
  <si>
    <t>Performance Rating</t>
  </si>
  <si>
    <t>EMP1001</t>
  </si>
  <si>
    <t>Vivaan Thakur</t>
  </si>
  <si>
    <t>Male</t>
  </si>
  <si>
    <t>Pune</t>
  </si>
  <si>
    <t>Finance</t>
  </si>
  <si>
    <t>Financial Analyst</t>
  </si>
  <si>
    <t>Bachelor's Degree</t>
  </si>
  <si>
    <t>Yes</t>
  </si>
  <si>
    <t>EMP1002</t>
  </si>
  <si>
    <t>Rajat Gupta</t>
  </si>
  <si>
    <t>Female</t>
  </si>
  <si>
    <t>Mumbai</t>
  </si>
  <si>
    <t>Accountant</t>
  </si>
  <si>
    <t>No</t>
  </si>
  <si>
    <t>EMP1003</t>
  </si>
  <si>
    <t>Nisha Kumar</t>
  </si>
  <si>
    <t>Bengaluru</t>
  </si>
  <si>
    <t>EMP1004</t>
  </si>
  <si>
    <t>Manish Reddy</t>
  </si>
  <si>
    <t>Kolkata</t>
  </si>
  <si>
    <t>IT</t>
  </si>
  <si>
    <t>Software Engineer</t>
  </si>
  <si>
    <t>EMP1005</t>
  </si>
  <si>
    <t>Varun Pandey</t>
  </si>
  <si>
    <t>MBA</t>
  </si>
  <si>
    <t>EMP1006</t>
  </si>
  <si>
    <t>Rajat Chauhan</t>
  </si>
  <si>
    <t>Ahmedabad</t>
  </si>
  <si>
    <t>Sales</t>
  </si>
  <si>
    <t>Business Development Executive</t>
  </si>
  <si>
    <t>Master's Degree</t>
  </si>
  <si>
    <t>EMP1007</t>
  </si>
  <si>
    <t>Aarav Patel</t>
  </si>
  <si>
    <t>Gurugram</t>
  </si>
  <si>
    <t>Research &amp; Development</t>
  </si>
  <si>
    <t>R&amp;D Specialist</t>
  </si>
  <si>
    <t>EMP1008</t>
  </si>
  <si>
    <t>Priya Gupta</t>
  </si>
  <si>
    <t>Hyderabad</t>
  </si>
  <si>
    <t>Finance Manager</t>
  </si>
  <si>
    <t>EMP1009</t>
  </si>
  <si>
    <t>Karan Singh</t>
  </si>
  <si>
    <t>Operations</t>
  </si>
  <si>
    <t>Operations Manager</t>
  </si>
  <si>
    <t>EMP1010</t>
  </si>
  <si>
    <t>Ishita Mishra</t>
  </si>
  <si>
    <t>Sales Executive</t>
  </si>
  <si>
    <t>EMP1011</t>
  </si>
  <si>
    <t>Aditya Thakur</t>
  </si>
  <si>
    <t>Noida</t>
  </si>
  <si>
    <t>EMP1012</t>
  </si>
  <si>
    <t>Riya Singh</t>
  </si>
  <si>
    <t>EMP1013</t>
  </si>
  <si>
    <t>Aditi Bose</t>
  </si>
  <si>
    <t>Human Resources</t>
  </si>
  <si>
    <t>Talent Acquisition Specialist</t>
  </si>
  <si>
    <t>EMP1014</t>
  </si>
  <si>
    <t>Aditya Bansal</t>
  </si>
  <si>
    <t>Operations Executive</t>
  </si>
  <si>
    <t>Diploma</t>
  </si>
  <si>
    <t>EMP1015</t>
  </si>
  <si>
    <t>Rahul Reddy</t>
  </si>
  <si>
    <t>Customer Support</t>
  </si>
  <si>
    <t>Customer Success Specialist</t>
  </si>
  <si>
    <t>EMP1016</t>
  </si>
  <si>
    <t>Priya Chauhan</t>
  </si>
  <si>
    <t>Chennai</t>
  </si>
  <si>
    <t>DevOps Engineer</t>
  </si>
  <si>
    <t>EMP1017</t>
  </si>
  <si>
    <t>Aditi Mishra</t>
  </si>
  <si>
    <t>Sales Representative</t>
  </si>
  <si>
    <t>EMP1018</t>
  </si>
  <si>
    <t>Rohan Sinha</t>
  </si>
  <si>
    <t>Delhi</t>
  </si>
  <si>
    <t>EMP1019</t>
  </si>
  <si>
    <t>Saurabh Chauhan</t>
  </si>
  <si>
    <t>Operations Analyst</t>
  </si>
  <si>
    <t>EMP1020</t>
  </si>
  <si>
    <t>Rajat Bansal</t>
  </si>
  <si>
    <t>EMP1021</t>
  </si>
  <si>
    <t>Rajat Kumar</t>
  </si>
  <si>
    <t>EMP1022</t>
  </si>
  <si>
    <t>Priya Singh</t>
  </si>
  <si>
    <t>Support Manager</t>
  </si>
  <si>
    <t>EMP1023</t>
  </si>
  <si>
    <t>Manish Roy</t>
  </si>
  <si>
    <t>Sales Manager</t>
  </si>
  <si>
    <t>EMP1024</t>
  </si>
  <si>
    <t>Tanya Gupta</t>
  </si>
  <si>
    <t>HR Manager</t>
  </si>
  <si>
    <t>EMP1025</t>
  </si>
  <si>
    <t>Akash Thakur</t>
  </si>
  <si>
    <t>EMP1026</t>
  </si>
  <si>
    <t>Nisha Bose</t>
  </si>
  <si>
    <t>EMP1027</t>
  </si>
  <si>
    <t>IT Support Specialist</t>
  </si>
  <si>
    <t>EMP1028</t>
  </si>
  <si>
    <t>Rahul Kumar</t>
  </si>
  <si>
    <t>R&amp;D Manager</t>
  </si>
  <si>
    <t>EMP1029</t>
  </si>
  <si>
    <t>Saurabh Bansal</t>
  </si>
  <si>
    <t>Product Engineer</t>
  </si>
  <si>
    <t>EMP1030</t>
  </si>
  <si>
    <t>Riya Yadav</t>
  </si>
  <si>
    <t>Research Analyst</t>
  </si>
  <si>
    <t>EMP1031</t>
  </si>
  <si>
    <t>Neha Agarwal</t>
  </si>
  <si>
    <t>Process Associate</t>
  </si>
  <si>
    <t>EMP1032</t>
  </si>
  <si>
    <t>Priya Roy</t>
  </si>
  <si>
    <t>EMP1033</t>
  </si>
  <si>
    <t>Ananya Joshi</t>
  </si>
  <si>
    <t>EMP1034</t>
  </si>
  <si>
    <t>Aarav Thakur</t>
  </si>
  <si>
    <t>Senior Financial Analyst</t>
  </si>
  <si>
    <t>EMP1035</t>
  </si>
  <si>
    <t>Nikhil Kapoor</t>
  </si>
  <si>
    <t>IT Manager</t>
  </si>
  <si>
    <t>EMP1036</t>
  </si>
  <si>
    <t>Varun Gupta</t>
  </si>
  <si>
    <t>EMP1037</t>
  </si>
  <si>
    <t>Aarav Sinha</t>
  </si>
  <si>
    <t>EMP1038</t>
  </si>
  <si>
    <t>Vivaan Verma</t>
  </si>
  <si>
    <t>Marketing</t>
  </si>
  <si>
    <t>Marketing Manager</t>
  </si>
  <si>
    <t>EMP1039</t>
  </si>
  <si>
    <t>Akash Kumar</t>
  </si>
  <si>
    <t>EMP1040</t>
  </si>
  <si>
    <t>Rahul Thakur</t>
  </si>
  <si>
    <t>Marketing Executive</t>
  </si>
  <si>
    <t>EMP1041</t>
  </si>
  <si>
    <t>Amit Gupta</t>
  </si>
  <si>
    <t>PhD</t>
  </si>
  <si>
    <t>EMP1042</t>
  </si>
  <si>
    <t>Neha Kapoor</t>
  </si>
  <si>
    <t>EMP1043</t>
  </si>
  <si>
    <t>Manish Agarwal</t>
  </si>
  <si>
    <t>EMP1044</t>
  </si>
  <si>
    <t>Shreya Bansal</t>
  </si>
  <si>
    <t>EMP1045</t>
  </si>
  <si>
    <t>Meera Verma</t>
  </si>
  <si>
    <t>EMP1046</t>
  </si>
  <si>
    <t>Rohan Das</t>
  </si>
  <si>
    <t>EMP1047</t>
  </si>
  <si>
    <t>Rajat Sharma</t>
  </si>
  <si>
    <t>EMP1048</t>
  </si>
  <si>
    <t>Rajat Singh</t>
  </si>
  <si>
    <t>EMP1049</t>
  </si>
  <si>
    <t>Rohan Kapoor</t>
  </si>
  <si>
    <t>EMP1050</t>
  </si>
  <si>
    <t>Sakshi Mehta</t>
  </si>
  <si>
    <t>EMP1051</t>
  </si>
  <si>
    <t>Divya Reddy</t>
  </si>
  <si>
    <t>EMP1052</t>
  </si>
  <si>
    <t>Varun Verma</t>
  </si>
  <si>
    <t>EMP1053</t>
  </si>
  <si>
    <t>Ishita Joshi</t>
  </si>
  <si>
    <t>EMP1054</t>
  </si>
  <si>
    <t>Arjun Bansal</t>
  </si>
  <si>
    <t>EMP1055</t>
  </si>
  <si>
    <t>Shreya Thakur</t>
  </si>
  <si>
    <t>EMP1056</t>
  </si>
  <si>
    <t>Akash Mehta</t>
  </si>
  <si>
    <t>EMP1057</t>
  </si>
  <si>
    <t>Amit Joshi</t>
  </si>
  <si>
    <t>EMP1058</t>
  </si>
  <si>
    <t>Tanya Reddy</t>
  </si>
  <si>
    <t>EMP1059</t>
  </si>
  <si>
    <t>Karan Kumar</t>
  </si>
  <si>
    <t>EMP1060</t>
  </si>
  <si>
    <t>EMP1061</t>
  </si>
  <si>
    <t>Sakshi Malhotra</t>
  </si>
  <si>
    <t>EMP1062</t>
  </si>
  <si>
    <t>Arjun Patel</t>
  </si>
  <si>
    <t>EMP1063</t>
  </si>
  <si>
    <t>Riya Nair</t>
  </si>
  <si>
    <t>EMP1064</t>
  </si>
  <si>
    <t>Nisha Pandey</t>
  </si>
  <si>
    <t>Marketing Analyst</t>
  </si>
  <si>
    <t>EMP1065</t>
  </si>
  <si>
    <t>Ankit Mehta</t>
  </si>
  <si>
    <t>EMP1066</t>
  </si>
  <si>
    <t>Arjun Bose</t>
  </si>
  <si>
    <t>EMP1067</t>
  </si>
  <si>
    <t>Pooja Kumar</t>
  </si>
  <si>
    <t>HR Executive</t>
  </si>
  <si>
    <t>EMP1068</t>
  </si>
  <si>
    <t>Divya Kapoor</t>
  </si>
  <si>
    <t>EMP1069</t>
  </si>
  <si>
    <t>Arjun Kapoor</t>
  </si>
  <si>
    <t>EMP1070</t>
  </si>
  <si>
    <t>HR Analyst</t>
  </si>
  <si>
    <t>EMP1071</t>
  </si>
  <si>
    <t>Shreya Verma</t>
  </si>
  <si>
    <t>Digital Marketing Specialist</t>
  </si>
  <si>
    <t>EMP1072</t>
  </si>
  <si>
    <t>Aditya Sinha</t>
  </si>
  <si>
    <t>EMP1073</t>
  </si>
  <si>
    <t>Pooja Nair</t>
  </si>
  <si>
    <t>EMP1074</t>
  </si>
  <si>
    <t>Akash Nair</t>
  </si>
  <si>
    <t>EMP1075</t>
  </si>
  <si>
    <t>Sneha Chauhan</t>
  </si>
  <si>
    <t>EMP1076</t>
  </si>
  <si>
    <t>Aarav Chauhan</t>
  </si>
  <si>
    <t>EMP1077</t>
  </si>
  <si>
    <t>EMP1078</t>
  </si>
  <si>
    <t>Neha Gupta</t>
  </si>
  <si>
    <t>Data Analyst</t>
  </si>
  <si>
    <t>EMP1079</t>
  </si>
  <si>
    <t>Akash Mishra</t>
  </si>
  <si>
    <t>EMP1080</t>
  </si>
  <si>
    <t>Meera Agarwal</t>
  </si>
  <si>
    <t>EMP1081</t>
  </si>
  <si>
    <t>Sneha Bansal</t>
  </si>
  <si>
    <t>EMP1082</t>
  </si>
  <si>
    <t>Neha Verma</t>
  </si>
  <si>
    <t>EMP1083</t>
  </si>
  <si>
    <t>Ankit Nair</t>
  </si>
  <si>
    <t>EMP1084</t>
  </si>
  <si>
    <t>Kavya Mehta</t>
  </si>
  <si>
    <t>EMP1085</t>
  </si>
  <si>
    <t>Sakshi Nair</t>
  </si>
  <si>
    <t>EMP1086</t>
  </si>
  <si>
    <t>Nisha Nair</t>
  </si>
  <si>
    <t>Customer Support Executive</t>
  </si>
  <si>
    <t>EMP1087</t>
  </si>
  <si>
    <t>Kavya Gupta</t>
  </si>
  <si>
    <t>EMP1088</t>
  </si>
  <si>
    <t>EMP1089</t>
  </si>
  <si>
    <t>Vikram Singh</t>
  </si>
  <si>
    <t>EMP1090</t>
  </si>
  <si>
    <t>EMP1091</t>
  </si>
  <si>
    <t>Nisha Gupta</t>
  </si>
  <si>
    <t>EMP1092</t>
  </si>
  <si>
    <t>Aditi Kumar</t>
  </si>
  <si>
    <t>EMP1093</t>
  </si>
  <si>
    <t>Akash Bansal</t>
  </si>
  <si>
    <t>Senior Support Executive</t>
  </si>
  <si>
    <t>EMP1094</t>
  </si>
  <si>
    <t>Simran Sinha</t>
  </si>
  <si>
    <t>EMP1095</t>
  </si>
  <si>
    <t>Saurabh Patel</t>
  </si>
  <si>
    <t>EMP1096</t>
  </si>
  <si>
    <t>Nikhil Thakur</t>
  </si>
  <si>
    <t>EMP1097</t>
  </si>
  <si>
    <t>EMP1098</t>
  </si>
  <si>
    <t>Riya Kumar</t>
  </si>
  <si>
    <t>EMP1099</t>
  </si>
  <si>
    <t>Varun Chauhan</t>
  </si>
  <si>
    <t>EMP1100</t>
  </si>
  <si>
    <t>Rajat Reddy</t>
  </si>
  <si>
    <t>EMP1101</t>
  </si>
  <si>
    <t>Shreya Das</t>
  </si>
  <si>
    <t>EMP1102</t>
  </si>
  <si>
    <t>Priya Mishra</t>
  </si>
  <si>
    <t>EMP1103</t>
  </si>
  <si>
    <t>Kavya Sharma</t>
  </si>
  <si>
    <t>EMP1104</t>
  </si>
  <si>
    <t>Nikhil Bose</t>
  </si>
  <si>
    <t>EMP1105</t>
  </si>
  <si>
    <t>Karan Sinha</t>
  </si>
  <si>
    <t>EMP1106</t>
  </si>
  <si>
    <t>Pooja Joshi</t>
  </si>
  <si>
    <t>EMP1107</t>
  </si>
  <si>
    <t>Vikram Yadav</t>
  </si>
  <si>
    <t>EMP1108</t>
  </si>
  <si>
    <t>Neha Kumar</t>
  </si>
  <si>
    <t>EMP1109</t>
  </si>
  <si>
    <t>Varun Mishra</t>
  </si>
  <si>
    <t>EMP1110</t>
  </si>
  <si>
    <t>Kavya Sinha</t>
  </si>
  <si>
    <t>EMP1111</t>
  </si>
  <si>
    <t>Sneha Kapoor</t>
  </si>
  <si>
    <t>EMP1112</t>
  </si>
  <si>
    <t>Pooja Yadav</t>
  </si>
  <si>
    <t>EMP1113</t>
  </si>
  <si>
    <t>Amit Mehta</t>
  </si>
  <si>
    <t>EMP1114</t>
  </si>
  <si>
    <t>Nikhil Sinha</t>
  </si>
  <si>
    <t>EMP1115</t>
  </si>
  <si>
    <t>Shreya Agarwal</t>
  </si>
  <si>
    <t>EMP1116</t>
  </si>
  <si>
    <t>Ananya Mehta</t>
  </si>
  <si>
    <t>EMP1117</t>
  </si>
  <si>
    <t>Tanya Chauhan</t>
  </si>
  <si>
    <t>EMP1118</t>
  </si>
  <si>
    <t>Divya Thakur</t>
  </si>
  <si>
    <t>EMP1119</t>
  </si>
  <si>
    <t>Ananya Kapoor</t>
  </si>
  <si>
    <t>EMP1120</t>
  </si>
  <si>
    <t>EMP1121</t>
  </si>
  <si>
    <t>EMP1122</t>
  </si>
  <si>
    <t>Akash Malhotra</t>
  </si>
  <si>
    <t>EMP1123</t>
  </si>
  <si>
    <t>Tanya Joshi</t>
  </si>
  <si>
    <t>EMP1124</t>
  </si>
  <si>
    <t>Riya Malhotra</t>
  </si>
  <si>
    <t>EMP1125</t>
  </si>
  <si>
    <t>Ankit Roy</t>
  </si>
  <si>
    <t>EMP1126</t>
  </si>
  <si>
    <t>Nisha Reddy</t>
  </si>
  <si>
    <t>EMP1127</t>
  </si>
  <si>
    <t>Tanya Kumar</t>
  </si>
  <si>
    <t>EMP1128</t>
  </si>
  <si>
    <t>Vikram Chauhan</t>
  </si>
  <si>
    <t>EMP1129</t>
  </si>
  <si>
    <t>Pooja Chauhan</t>
  </si>
  <si>
    <t>EMP1130</t>
  </si>
  <si>
    <t>Meera Patel</t>
  </si>
  <si>
    <t>EMP1131</t>
  </si>
  <si>
    <t>Neha Reddy</t>
  </si>
  <si>
    <t>EMP1132</t>
  </si>
  <si>
    <t>Sakshi Roy</t>
  </si>
  <si>
    <t>EMP1133</t>
  </si>
  <si>
    <t>Meera Singh</t>
  </si>
  <si>
    <t>EMP1134</t>
  </si>
  <si>
    <t>Priya Das</t>
  </si>
  <si>
    <t>EMP1135</t>
  </si>
  <si>
    <t>EMP1136</t>
  </si>
  <si>
    <t>Ankit Pandey</t>
  </si>
  <si>
    <t>EMP1137</t>
  </si>
  <si>
    <t>Simran Joshi</t>
  </si>
  <si>
    <t>EMP1138</t>
  </si>
  <si>
    <t>Simran Kumar</t>
  </si>
  <si>
    <t>EMP1139</t>
  </si>
  <si>
    <t>Riya Bose</t>
  </si>
  <si>
    <t>EMP1140</t>
  </si>
  <si>
    <t>Divya Sharma</t>
  </si>
  <si>
    <t>EMP1141</t>
  </si>
  <si>
    <t>Riya Joshi</t>
  </si>
  <si>
    <t>EMP1142</t>
  </si>
  <si>
    <t>Sakshi Reddy</t>
  </si>
  <si>
    <t>EMP1143</t>
  </si>
  <si>
    <t>Sakshi Sharma</t>
  </si>
  <si>
    <t>EMP1144</t>
  </si>
  <si>
    <t>EMP1145</t>
  </si>
  <si>
    <t>Amit Sinha</t>
  </si>
  <si>
    <t>EMP1146</t>
  </si>
  <si>
    <t>Shreya Bose</t>
  </si>
  <si>
    <t>EMP1147</t>
  </si>
  <si>
    <t>Rahul Roy</t>
  </si>
  <si>
    <t>EMP1148</t>
  </si>
  <si>
    <t>Tanya Patel</t>
  </si>
  <si>
    <t>EMP1149</t>
  </si>
  <si>
    <t>Riya Das</t>
  </si>
  <si>
    <t>EMP1150</t>
  </si>
  <si>
    <t>Pooja Das</t>
  </si>
  <si>
    <t>EMP1151</t>
  </si>
  <si>
    <t>Simran Nair</t>
  </si>
  <si>
    <t>EMP1152</t>
  </si>
  <si>
    <t>EMP1153</t>
  </si>
  <si>
    <t>Ishita Reddy</t>
  </si>
  <si>
    <t>EMP1154</t>
  </si>
  <si>
    <t>Vivaan Reddy</t>
  </si>
  <si>
    <t>EMP1155</t>
  </si>
  <si>
    <t>Ankit Reddy</t>
  </si>
  <si>
    <t>EMP1156</t>
  </si>
  <si>
    <t>Vikram Bose</t>
  </si>
  <si>
    <t>EMP1157</t>
  </si>
  <si>
    <t>Neha Mishra</t>
  </si>
  <si>
    <t>EMP1158</t>
  </si>
  <si>
    <t>Saurabh Iyer</t>
  </si>
  <si>
    <t>EMP1159</t>
  </si>
  <si>
    <t>Sneha Bose</t>
  </si>
  <si>
    <t>EMP1160</t>
  </si>
  <si>
    <t>Varun Singh</t>
  </si>
  <si>
    <t>EMP1161</t>
  </si>
  <si>
    <t>Karan Pandey</t>
  </si>
  <si>
    <t>EMP1162</t>
  </si>
  <si>
    <t>Aditya Mishra</t>
  </si>
  <si>
    <t>EMP1163</t>
  </si>
  <si>
    <t>Aditi Singh</t>
  </si>
  <si>
    <t>EMP1164</t>
  </si>
  <si>
    <t>Aarav Joshi</t>
  </si>
  <si>
    <t>EMP1165</t>
  </si>
  <si>
    <t>Nisha Mishra</t>
  </si>
  <si>
    <t>EMP1166</t>
  </si>
  <si>
    <t>Nisha Patel</t>
  </si>
  <si>
    <t>EMP1167</t>
  </si>
  <si>
    <t>Divya Chauhan</t>
  </si>
  <si>
    <t>EMP1168</t>
  </si>
  <si>
    <t>Pooja Reddy</t>
  </si>
  <si>
    <t>EMP1169</t>
  </si>
  <si>
    <t>Meera Reddy</t>
  </si>
  <si>
    <t>EMP1170</t>
  </si>
  <si>
    <t>EMP1171</t>
  </si>
  <si>
    <t>Pooja Patel</t>
  </si>
  <si>
    <t>EMP1172</t>
  </si>
  <si>
    <t>Ishita Nair</t>
  </si>
  <si>
    <t>EMP1173</t>
  </si>
  <si>
    <t>Priya Agarwal</t>
  </si>
  <si>
    <t>EMP1174</t>
  </si>
  <si>
    <t>EMP1175</t>
  </si>
  <si>
    <t>Akash Pandey</t>
  </si>
  <si>
    <t>EMP1176</t>
  </si>
  <si>
    <t>Meera Sharma</t>
  </si>
  <si>
    <t>EMP1177</t>
  </si>
  <si>
    <t>Rajat Yadav</t>
  </si>
  <si>
    <t>EMP1178</t>
  </si>
  <si>
    <t>Aditi Malhotra</t>
  </si>
  <si>
    <t>EMP1179</t>
  </si>
  <si>
    <t>Nisha Thakur</t>
  </si>
  <si>
    <t>EMP1180</t>
  </si>
  <si>
    <t>Ishita Pandey</t>
  </si>
  <si>
    <t>EMP1181</t>
  </si>
  <si>
    <t>Sneha Nair</t>
  </si>
  <si>
    <t>EMP1182</t>
  </si>
  <si>
    <t>Varun Das</t>
  </si>
  <si>
    <t>EMP1183</t>
  </si>
  <si>
    <t>Nikhil Mehta</t>
  </si>
  <si>
    <t>EMP1184</t>
  </si>
  <si>
    <t>Priya Thakur</t>
  </si>
  <si>
    <t>EMP1185</t>
  </si>
  <si>
    <t>Ananya Verma</t>
  </si>
  <si>
    <t>EMP1186</t>
  </si>
  <si>
    <t>Rajat Mishra</t>
  </si>
  <si>
    <t>EMP1187</t>
  </si>
  <si>
    <t>Aarav Pandey</t>
  </si>
  <si>
    <t>EMP1188</t>
  </si>
  <si>
    <t>Priya Kumar</t>
  </si>
  <si>
    <t>EMP1189</t>
  </si>
  <si>
    <t>Ananya Pandey</t>
  </si>
  <si>
    <t>EMP1190</t>
  </si>
  <si>
    <t>Karan Sharma</t>
  </si>
  <si>
    <t>EMP1191</t>
  </si>
  <si>
    <t>Divya Malhotra</t>
  </si>
  <si>
    <t>EMP1192</t>
  </si>
  <si>
    <t>Nikhil Kumar</t>
  </si>
  <si>
    <t>EMP1193</t>
  </si>
  <si>
    <t>EMP1194</t>
  </si>
  <si>
    <t>Rohan Bose</t>
  </si>
  <si>
    <t>EMP1195</t>
  </si>
  <si>
    <t>Ankit Bose</t>
  </si>
  <si>
    <t>EMP1196</t>
  </si>
  <si>
    <t>Akash Verma</t>
  </si>
  <si>
    <t>EMP1197</t>
  </si>
  <si>
    <t>Rajat Kapoor</t>
  </si>
  <si>
    <t>EMP1198</t>
  </si>
  <si>
    <t>Meera Iyer</t>
  </si>
  <si>
    <t>EMP1199</t>
  </si>
  <si>
    <t>EMP1200</t>
  </si>
  <si>
    <t>Karan Mehta</t>
  </si>
  <si>
    <t>EMP1201</t>
  </si>
  <si>
    <t>Rahul Patel</t>
  </si>
  <si>
    <t>EMP1202</t>
  </si>
  <si>
    <t>Rohan Patel</t>
  </si>
  <si>
    <t>EMP1203</t>
  </si>
  <si>
    <t>Meera Pandey</t>
  </si>
  <si>
    <t>EMP1204</t>
  </si>
  <si>
    <t>Ananya Kumar</t>
  </si>
  <si>
    <t>EMP1205</t>
  </si>
  <si>
    <t>EMP1206</t>
  </si>
  <si>
    <t>Rajat Nair</t>
  </si>
  <si>
    <t>EMP1207</t>
  </si>
  <si>
    <t>Nisha Verma</t>
  </si>
  <si>
    <t>EMP1208</t>
  </si>
  <si>
    <t>EMP1209</t>
  </si>
  <si>
    <t>EMP1210</t>
  </si>
  <si>
    <t>EMP1211</t>
  </si>
  <si>
    <t>Shreya Nair</t>
  </si>
  <si>
    <t>EMP1212</t>
  </si>
  <si>
    <t>EMP1213</t>
  </si>
  <si>
    <t>EMP1214</t>
  </si>
  <si>
    <t>Vivaan Singh</t>
  </si>
  <si>
    <t>EMP1215</t>
  </si>
  <si>
    <t>Priya Bose</t>
  </si>
  <si>
    <t>EMP1216</t>
  </si>
  <si>
    <t>EMP1217</t>
  </si>
  <si>
    <t>EMP1218</t>
  </si>
  <si>
    <t>Rahul Malhotra</t>
  </si>
  <si>
    <t>EMP1219</t>
  </si>
  <si>
    <t>Kavya Das</t>
  </si>
  <si>
    <t>EMP1220</t>
  </si>
  <si>
    <t>Kavya Joshi</t>
  </si>
  <si>
    <t>EMP1221</t>
  </si>
  <si>
    <t>EMP1222</t>
  </si>
  <si>
    <t>Rahul Das</t>
  </si>
  <si>
    <t>EMP1223</t>
  </si>
  <si>
    <t>EMP1224</t>
  </si>
  <si>
    <t>EMP1225</t>
  </si>
  <si>
    <t>Aditi Sinha</t>
  </si>
  <si>
    <t>EMP1226</t>
  </si>
  <si>
    <t>Arjun Mehta</t>
  </si>
  <si>
    <t>EMP1227</t>
  </si>
  <si>
    <t>Ananya Chauhan</t>
  </si>
  <si>
    <t>EMP1228</t>
  </si>
  <si>
    <t>Vivaan Roy</t>
  </si>
  <si>
    <t>EMP1229</t>
  </si>
  <si>
    <t>EMP1230</t>
  </si>
  <si>
    <t>Simran Singh</t>
  </si>
  <si>
    <t>EMP1231</t>
  </si>
  <si>
    <t>Tanya Verma</t>
  </si>
  <si>
    <t>EMP1232</t>
  </si>
  <si>
    <t>EMP1233</t>
  </si>
  <si>
    <t>EMP1234</t>
  </si>
  <si>
    <t>Ankit Yadav</t>
  </si>
  <si>
    <t>EMP1235</t>
  </si>
  <si>
    <t>Rohan Nair</t>
  </si>
  <si>
    <t>EMP1236</t>
  </si>
  <si>
    <t>Priya Sharma</t>
  </si>
  <si>
    <t>EMP1237</t>
  </si>
  <si>
    <t>Sakshi Gupta</t>
  </si>
  <si>
    <t>EMP1238</t>
  </si>
  <si>
    <t>Ishita Das</t>
  </si>
  <si>
    <t>EMP1239</t>
  </si>
  <si>
    <t>Tanya Das</t>
  </si>
  <si>
    <t>EMP1240</t>
  </si>
  <si>
    <t>Riya Reddy</t>
  </si>
  <si>
    <t>EMP1241</t>
  </si>
  <si>
    <t>Pooja Thakur</t>
  </si>
  <si>
    <t>EMP1242</t>
  </si>
  <si>
    <t>Riya Bansal</t>
  </si>
  <si>
    <t>EMP1243</t>
  </si>
  <si>
    <t>Aditya Gupta</t>
  </si>
  <si>
    <t>EMP1244</t>
  </si>
  <si>
    <t>Karan Chauhan</t>
  </si>
  <si>
    <t>EMP1245</t>
  </si>
  <si>
    <t>EMP1246</t>
  </si>
  <si>
    <t>Ankit Singh</t>
  </si>
  <si>
    <t>EMP1247</t>
  </si>
  <si>
    <t>EMP1248</t>
  </si>
  <si>
    <t>Kavya Bansal</t>
  </si>
  <si>
    <t>EMP1249</t>
  </si>
  <si>
    <t>Pooja Roy</t>
  </si>
  <si>
    <t>EMP1250</t>
  </si>
  <si>
    <t>Rohan Reddy</t>
  </si>
  <si>
    <t>EMP1251</t>
  </si>
  <si>
    <t>Rahul Joshi</t>
  </si>
  <si>
    <t>EMP1252</t>
  </si>
  <si>
    <t>EMP1253</t>
  </si>
  <si>
    <t>Aditya Das</t>
  </si>
  <si>
    <t>EMP1254</t>
  </si>
  <si>
    <t>EMP1255</t>
  </si>
  <si>
    <t>Akash Kapoor</t>
  </si>
  <si>
    <t>EMP1256</t>
  </si>
  <si>
    <t>EMP1257</t>
  </si>
  <si>
    <t>Riya Sinha</t>
  </si>
  <si>
    <t>EMP1258</t>
  </si>
  <si>
    <t>EMP1259</t>
  </si>
  <si>
    <t>Tanya Nair</t>
  </si>
  <si>
    <t>EMP1260</t>
  </si>
  <si>
    <t>Ananya Bansal</t>
  </si>
  <si>
    <t>EMP1261</t>
  </si>
  <si>
    <t>Rohan Chauhan</t>
  </si>
  <si>
    <t>EMP1262</t>
  </si>
  <si>
    <t>EMP1263</t>
  </si>
  <si>
    <t>Sneha Mehta</t>
  </si>
  <si>
    <t>EMP1264</t>
  </si>
  <si>
    <t>Karan Reddy</t>
  </si>
  <si>
    <t>EMP1265</t>
  </si>
  <si>
    <t>Ishita Bose</t>
  </si>
  <si>
    <t>EMP1266</t>
  </si>
  <si>
    <t>Vivaan Bansal</t>
  </si>
  <si>
    <t>EMP1267</t>
  </si>
  <si>
    <t>Aarav Bose</t>
  </si>
  <si>
    <t>EMP1268</t>
  </si>
  <si>
    <t>Sakshi Iyer</t>
  </si>
  <si>
    <t>EMP1269</t>
  </si>
  <si>
    <t>Rajat Roy</t>
  </si>
  <si>
    <t>EMP1270</t>
  </si>
  <si>
    <t>Amit Roy</t>
  </si>
  <si>
    <t>EMP1271</t>
  </si>
  <si>
    <t>EMP1272</t>
  </si>
  <si>
    <t>Amit Singh</t>
  </si>
  <si>
    <t>EMP1273</t>
  </si>
  <si>
    <t>Simran Patel</t>
  </si>
  <si>
    <t>EMP1274</t>
  </si>
  <si>
    <t>Aditi Kapoor</t>
  </si>
  <si>
    <t>EMP1275</t>
  </si>
  <si>
    <t>Saurabh Nair</t>
  </si>
  <si>
    <t>EMP1276</t>
  </si>
  <si>
    <t>Kavya Verma</t>
  </si>
  <si>
    <t>EMP1277</t>
  </si>
  <si>
    <t>EMP1278</t>
  </si>
  <si>
    <t>Rahul Yadav</t>
  </si>
  <si>
    <t>EMP1279</t>
  </si>
  <si>
    <t>EMP1280</t>
  </si>
  <si>
    <t>Riya Roy</t>
  </si>
  <si>
    <t>EMP1281</t>
  </si>
  <si>
    <t>Rajat Malhotra</t>
  </si>
  <si>
    <t>EMP1282</t>
  </si>
  <si>
    <t>Pooja Sinha</t>
  </si>
  <si>
    <t>EMP1283</t>
  </si>
  <si>
    <t>Tanya Pandey</t>
  </si>
  <si>
    <t>EMP1284</t>
  </si>
  <si>
    <t>Vikram Gupta</t>
  </si>
  <si>
    <t>EMP1285</t>
  </si>
  <si>
    <t>Sneha Malhotra</t>
  </si>
  <si>
    <t>EMP1286</t>
  </si>
  <si>
    <t>Akash Agarwal</t>
  </si>
  <si>
    <t>EMP1287</t>
  </si>
  <si>
    <t>Tanya Mishra</t>
  </si>
  <si>
    <t>EMP1288</t>
  </si>
  <si>
    <t>Ankit Joshi</t>
  </si>
  <si>
    <t>EMP1289</t>
  </si>
  <si>
    <t>EMP1290</t>
  </si>
  <si>
    <t>Manish Chauhan</t>
  </si>
  <si>
    <t>EMP1291</t>
  </si>
  <si>
    <t>Aditi Verma</t>
  </si>
  <si>
    <t>EMP1292</t>
  </si>
  <si>
    <t>Ishita Kumar</t>
  </si>
  <si>
    <t>EMP1293</t>
  </si>
  <si>
    <t>EMP1294</t>
  </si>
  <si>
    <t>EMP1295</t>
  </si>
  <si>
    <t>Arjun Das</t>
  </si>
  <si>
    <t>EMP1296</t>
  </si>
  <si>
    <t>Manish Singh</t>
  </si>
  <si>
    <t>EMP1297</t>
  </si>
  <si>
    <t>EMP1298</t>
  </si>
  <si>
    <t>Aarav Nair</t>
  </si>
  <si>
    <t>EMP1299</t>
  </si>
  <si>
    <t>Neha Patel</t>
  </si>
  <si>
    <t>EMP1300</t>
  </si>
  <si>
    <t>Amit Sharma</t>
  </si>
  <si>
    <t>EMP1301</t>
  </si>
  <si>
    <t>Pooja Sharma</t>
  </si>
  <si>
    <t>EMP1302</t>
  </si>
  <si>
    <t>Arjun Gupta</t>
  </si>
  <si>
    <t>EMP1303</t>
  </si>
  <si>
    <t>Rohan Malhotra</t>
  </si>
  <si>
    <t>EMP1304</t>
  </si>
  <si>
    <t>EMP1305</t>
  </si>
  <si>
    <t>EMP1306</t>
  </si>
  <si>
    <t>Tanya Roy</t>
  </si>
  <si>
    <t>EMP1307</t>
  </si>
  <si>
    <t>Divya Yadav</t>
  </si>
  <si>
    <t>EMP1308</t>
  </si>
  <si>
    <t>Sakshi Pandey</t>
  </si>
  <si>
    <t>EMP1309</t>
  </si>
  <si>
    <t>EMP1310</t>
  </si>
  <si>
    <t>Rohan Gupta</t>
  </si>
  <si>
    <t>EMP1311</t>
  </si>
  <si>
    <t>EMP1312</t>
  </si>
  <si>
    <t>Tanya Kapoor</t>
  </si>
  <si>
    <t>EMP1313</t>
  </si>
  <si>
    <t>EMP1314</t>
  </si>
  <si>
    <t>Manish Joshi</t>
  </si>
  <si>
    <t>EMP1315</t>
  </si>
  <si>
    <t>Simran Das</t>
  </si>
  <si>
    <t>EMP1316</t>
  </si>
  <si>
    <t>Simran Thakur</t>
  </si>
  <si>
    <t>EMP1317</t>
  </si>
  <si>
    <t>Nisha Das</t>
  </si>
  <si>
    <t>EMP1318</t>
  </si>
  <si>
    <t>Ankit Bansal</t>
  </si>
  <si>
    <t>EMP1319</t>
  </si>
  <si>
    <t>Rahul Singh</t>
  </si>
  <si>
    <t>EMP1320</t>
  </si>
  <si>
    <t>Karan Thakur</t>
  </si>
  <si>
    <t>EMP1321</t>
  </si>
  <si>
    <t>EMP1322</t>
  </si>
  <si>
    <t>EMP1323</t>
  </si>
  <si>
    <t>Ishita Bansal</t>
  </si>
  <si>
    <t>EMP1324</t>
  </si>
  <si>
    <t>Ananya Sinha</t>
  </si>
  <si>
    <t>EMP1325</t>
  </si>
  <si>
    <t>Karan Bose</t>
  </si>
  <si>
    <t>EMP1326</t>
  </si>
  <si>
    <t>EMP1327</t>
  </si>
  <si>
    <t>Karan Mishra</t>
  </si>
  <si>
    <t>EMP1328</t>
  </si>
  <si>
    <t>Vikram Nair</t>
  </si>
  <si>
    <t>EMP1329</t>
  </si>
  <si>
    <t>Nisha Agarwal</t>
  </si>
  <si>
    <t>EMP1330</t>
  </si>
  <si>
    <t>EMP1331</t>
  </si>
  <si>
    <t>Sneha Das</t>
  </si>
  <si>
    <t>EMP1332</t>
  </si>
  <si>
    <t>Nikhil Gupta</t>
  </si>
  <si>
    <t>EMP1333</t>
  </si>
  <si>
    <t>EMP1334</t>
  </si>
  <si>
    <t>Manish Yadav</t>
  </si>
  <si>
    <t>EMP1335</t>
  </si>
  <si>
    <t>Kavya Patel</t>
  </si>
  <si>
    <t>EMP1336</t>
  </si>
  <si>
    <t>Pooja Bose</t>
  </si>
  <si>
    <t>EMP1337</t>
  </si>
  <si>
    <t>EMP1338</t>
  </si>
  <si>
    <t>Rahul Nair</t>
  </si>
  <si>
    <t>EMP1339</t>
  </si>
  <si>
    <t>Sakshi Sinha</t>
  </si>
  <si>
    <t>EMP1340</t>
  </si>
  <si>
    <t>Priya Mehta</t>
  </si>
  <si>
    <t>EMP1341</t>
  </si>
  <si>
    <t>EMP1342</t>
  </si>
  <si>
    <t>Sakshi Kapoor</t>
  </si>
  <si>
    <t>EMP1343</t>
  </si>
  <si>
    <t>EMP1344</t>
  </si>
  <si>
    <t>Aarav Mehta</t>
  </si>
  <si>
    <t>EMP1345</t>
  </si>
  <si>
    <t>Amit Nair</t>
  </si>
  <si>
    <t>EMP1346</t>
  </si>
  <si>
    <t>Vikram Sharma</t>
  </si>
  <si>
    <t>EMP1347</t>
  </si>
  <si>
    <t>EMP1348</t>
  </si>
  <si>
    <t>Ishita Singh</t>
  </si>
  <si>
    <t>EMP1349</t>
  </si>
  <si>
    <t>Nisha Sharma</t>
  </si>
  <si>
    <t>EMP1350</t>
  </si>
  <si>
    <t>EMP1351</t>
  </si>
  <si>
    <t>Simran Iyer</t>
  </si>
  <si>
    <t>EMP1352</t>
  </si>
  <si>
    <t>Vivaan Das</t>
  </si>
  <si>
    <t>EMP1353</t>
  </si>
  <si>
    <t>EMP1354</t>
  </si>
  <si>
    <t>EMP1355</t>
  </si>
  <si>
    <t>Shreya Kapoor</t>
  </si>
  <si>
    <t>EMP1356</t>
  </si>
  <si>
    <t>Sneha Thakur</t>
  </si>
  <si>
    <t>EMP1357</t>
  </si>
  <si>
    <t>EMP1358</t>
  </si>
  <si>
    <t>Vikram Kapoor</t>
  </si>
  <si>
    <t>EMP1359</t>
  </si>
  <si>
    <t>EMP1360</t>
  </si>
  <si>
    <t>Karan Gupta</t>
  </si>
  <si>
    <t>EMP1361</t>
  </si>
  <si>
    <t>EMP1362</t>
  </si>
  <si>
    <t>Nikhil Roy</t>
  </si>
  <si>
    <t>EMP1363</t>
  </si>
  <si>
    <t>Meera Bansal</t>
  </si>
  <si>
    <t>EMP1364</t>
  </si>
  <si>
    <t>Pooja Gupta</t>
  </si>
  <si>
    <t>EMP1365</t>
  </si>
  <si>
    <t>EMP1366</t>
  </si>
  <si>
    <t>Arjun Mishra</t>
  </si>
  <si>
    <t>EMP1367</t>
  </si>
  <si>
    <t>EMP1368</t>
  </si>
  <si>
    <t>EMP1369</t>
  </si>
  <si>
    <t>Rahul Sinha</t>
  </si>
  <si>
    <t>EMP1370</t>
  </si>
  <si>
    <t>Tanya Bose</t>
  </si>
  <si>
    <t>EMP1371</t>
  </si>
  <si>
    <t>Meera Bose</t>
  </si>
  <si>
    <t>EMP1372</t>
  </si>
  <si>
    <t>EMP1373</t>
  </si>
  <si>
    <t>EMP1374</t>
  </si>
  <si>
    <t>EMP1375</t>
  </si>
  <si>
    <t>Meera Kapoor</t>
  </si>
  <si>
    <t>EMP1376</t>
  </si>
  <si>
    <t>EMP1377</t>
  </si>
  <si>
    <t>EMP1378</t>
  </si>
  <si>
    <t>Kavya Singh</t>
  </si>
  <si>
    <t>EMP1379</t>
  </si>
  <si>
    <t>Riya Iyer</t>
  </si>
  <si>
    <t>EMP1380</t>
  </si>
  <si>
    <t>EMP1381</t>
  </si>
  <si>
    <t>Ishita Iyer</t>
  </si>
  <si>
    <t>EMP1382</t>
  </si>
  <si>
    <t>Rahul Iyer</t>
  </si>
  <si>
    <t>EMP1383</t>
  </si>
  <si>
    <t>EMP1384</t>
  </si>
  <si>
    <t>Nisha Kapoor</t>
  </si>
  <si>
    <t>EMP1385</t>
  </si>
  <si>
    <t>Aditi Iyer</t>
  </si>
  <si>
    <t>EMP1386</t>
  </si>
  <si>
    <t>Kavya Malhotra</t>
  </si>
  <si>
    <t>EMP1387</t>
  </si>
  <si>
    <t>EMP1388</t>
  </si>
  <si>
    <t>Karan Kapoor</t>
  </si>
  <si>
    <t>EMP1389</t>
  </si>
  <si>
    <t>EMP1390</t>
  </si>
  <si>
    <t>Riya Gupta</t>
  </si>
  <si>
    <t>EMP1391</t>
  </si>
  <si>
    <t>Saurabh Thakur</t>
  </si>
  <si>
    <t>EMP1392</t>
  </si>
  <si>
    <t>Simran Mishra</t>
  </si>
  <si>
    <t>EMP1393</t>
  </si>
  <si>
    <t>Ananya Thakur</t>
  </si>
  <si>
    <t>EMP1394</t>
  </si>
  <si>
    <t>Akash Iyer</t>
  </si>
  <si>
    <t>EMP1395</t>
  </si>
  <si>
    <t>Aditi Bansal</t>
  </si>
  <si>
    <t>EMP1396</t>
  </si>
  <si>
    <t>Tanya Iyer</t>
  </si>
  <si>
    <t>EMP1397</t>
  </si>
  <si>
    <t>EMP1398</t>
  </si>
  <si>
    <t>EMP1399</t>
  </si>
  <si>
    <t>EMP1400</t>
  </si>
  <si>
    <t>Ananya Singh</t>
  </si>
  <si>
    <t>EMP1401</t>
  </si>
  <si>
    <t>EMP1402</t>
  </si>
  <si>
    <t>EMP1403</t>
  </si>
  <si>
    <t>Vivaan Joshi</t>
  </si>
  <si>
    <t>EMP1404</t>
  </si>
  <si>
    <t>Aditi Reddy</t>
  </si>
  <si>
    <t>EMP1405</t>
  </si>
  <si>
    <t>EMP1406</t>
  </si>
  <si>
    <t>EMP1407</t>
  </si>
  <si>
    <t>Amit Kumar</t>
  </si>
  <si>
    <t>EMP1408</t>
  </si>
  <si>
    <t>Amit Pandey</t>
  </si>
  <si>
    <t>EMP1409</t>
  </si>
  <si>
    <t>Aarav Singh</t>
  </si>
  <si>
    <t>EMP1410</t>
  </si>
  <si>
    <t>Manish Gupta</t>
  </si>
  <si>
    <t>EMP1411</t>
  </si>
  <si>
    <t>Vikram Iyer</t>
  </si>
  <si>
    <t>EMP1412</t>
  </si>
  <si>
    <t>Vikram Kumar</t>
  </si>
  <si>
    <t>EMP1413</t>
  </si>
  <si>
    <t>Tanya Singh</t>
  </si>
  <si>
    <t>EMP1414</t>
  </si>
  <si>
    <t>EMP1415</t>
  </si>
  <si>
    <t>Ankit Iyer</t>
  </si>
  <si>
    <t>EMP1416</t>
  </si>
  <si>
    <t>EMP1417</t>
  </si>
  <si>
    <t>Nikhil Bansal</t>
  </si>
  <si>
    <t>EMP1418</t>
  </si>
  <si>
    <t>EMP1419</t>
  </si>
  <si>
    <t>EMP1420</t>
  </si>
  <si>
    <t>Aditi Nair</t>
  </si>
  <si>
    <t>EMP1421</t>
  </si>
  <si>
    <t>Rohan Mishra</t>
  </si>
  <si>
    <t>EMP1422</t>
  </si>
  <si>
    <t>EMP1423</t>
  </si>
  <si>
    <t>Kavya Roy</t>
  </si>
  <si>
    <t>EMP1424</t>
  </si>
  <si>
    <t>Divya Roy</t>
  </si>
  <si>
    <t>EMP1425</t>
  </si>
  <si>
    <t>Rohan Pandey</t>
  </si>
  <si>
    <t>EMP1426</t>
  </si>
  <si>
    <t>EMP1427</t>
  </si>
  <si>
    <t>EMP1428</t>
  </si>
  <si>
    <t>Divya Nair</t>
  </si>
  <si>
    <t>EMP1429</t>
  </si>
  <si>
    <t>Ananya Mishra</t>
  </si>
  <si>
    <t>EMP1430</t>
  </si>
  <si>
    <t>Priya Verma</t>
  </si>
  <si>
    <t>EMP1431</t>
  </si>
  <si>
    <t>EMP1432</t>
  </si>
  <si>
    <t>EMP1433</t>
  </si>
  <si>
    <t>EMP1434</t>
  </si>
  <si>
    <t>Nisha Singh</t>
  </si>
  <si>
    <t>EMP1435</t>
  </si>
  <si>
    <t>Ananya Das</t>
  </si>
  <si>
    <t>EMP1436</t>
  </si>
  <si>
    <t>Pooja Bansal</t>
  </si>
  <si>
    <t>EMP1437</t>
  </si>
  <si>
    <t>Meera Sinha</t>
  </si>
  <si>
    <t>EMP1438</t>
  </si>
  <si>
    <t>Meera Mishra</t>
  </si>
  <si>
    <t>EMP1439</t>
  </si>
  <si>
    <t>Ishita Sinha</t>
  </si>
  <si>
    <t>EMP1440</t>
  </si>
  <si>
    <t>Arjun Singh</t>
  </si>
  <si>
    <t>EMP1441</t>
  </si>
  <si>
    <t>Saurabh Sharma</t>
  </si>
  <si>
    <t>EMP1442</t>
  </si>
  <si>
    <t>EMP1443</t>
  </si>
  <si>
    <t>EMP1444</t>
  </si>
  <si>
    <t>EMP1445</t>
  </si>
  <si>
    <t>Aditi Chauhan</t>
  </si>
  <si>
    <t>EMP1446</t>
  </si>
  <si>
    <t>Aditi Yadav</t>
  </si>
  <si>
    <t>EMP1447</t>
  </si>
  <si>
    <t>EMP1448</t>
  </si>
  <si>
    <t>EMP1449</t>
  </si>
  <si>
    <t>Neha Nair</t>
  </si>
  <si>
    <t>EMP1450</t>
  </si>
  <si>
    <t>EMP1451</t>
  </si>
  <si>
    <t>EMP1452</t>
  </si>
  <si>
    <t>Nikhil Pandey</t>
  </si>
  <si>
    <t>EMP1453</t>
  </si>
  <si>
    <t>EMP1454</t>
  </si>
  <si>
    <t>Ananya Iyer</t>
  </si>
  <si>
    <t>EMP1455</t>
  </si>
  <si>
    <t>EMP1456</t>
  </si>
  <si>
    <t>EMP1457</t>
  </si>
  <si>
    <t>Vivaan Mishra</t>
  </si>
  <si>
    <t>EMP1458</t>
  </si>
  <si>
    <t>Tanya Agarwal</t>
  </si>
  <si>
    <t>EMP1459</t>
  </si>
  <si>
    <t>EMP1460</t>
  </si>
  <si>
    <t>EMP1461</t>
  </si>
  <si>
    <t>EMP1462</t>
  </si>
  <si>
    <t>Meera Chauhan</t>
  </si>
  <si>
    <t>EMP1463</t>
  </si>
  <si>
    <t>Amit Agarwal</t>
  </si>
  <si>
    <t>EMP1464</t>
  </si>
  <si>
    <t>EMP1465</t>
  </si>
  <si>
    <t>EMP1466</t>
  </si>
  <si>
    <t>EMP1467</t>
  </si>
  <si>
    <t>Ishita Kapoor</t>
  </si>
  <si>
    <t>EMP1468</t>
  </si>
  <si>
    <t>Neha Mehta</t>
  </si>
  <si>
    <t>EMP1469</t>
  </si>
  <si>
    <t>EMP1470</t>
  </si>
  <si>
    <t>Saurabh Bose</t>
  </si>
  <si>
    <t>EMP1471</t>
  </si>
  <si>
    <t>EMP1472</t>
  </si>
  <si>
    <t>Aditya Sharma</t>
  </si>
  <si>
    <t>EMP1473</t>
  </si>
  <si>
    <t>Neha Roy</t>
  </si>
  <si>
    <t>EMP1474</t>
  </si>
  <si>
    <t>Vivaan Malhotra</t>
  </si>
  <si>
    <t>EMP1475</t>
  </si>
  <si>
    <t>EMP1476</t>
  </si>
  <si>
    <t>EMP1477</t>
  </si>
  <si>
    <t>EMP1478</t>
  </si>
  <si>
    <t>Tanya Mehta</t>
  </si>
  <si>
    <t>EMP1479</t>
  </si>
  <si>
    <t>Pooja Pandey</t>
  </si>
  <si>
    <t>EMP1480</t>
  </si>
  <si>
    <t>Shreya Gupta</t>
  </si>
  <si>
    <t>EMP1481</t>
  </si>
  <si>
    <t>EMP1482</t>
  </si>
  <si>
    <t>EMP1483</t>
  </si>
  <si>
    <t>EMP1484</t>
  </si>
  <si>
    <t>Simran Reddy</t>
  </si>
  <si>
    <t>EMP1485</t>
  </si>
  <si>
    <t>Pooja Mehta</t>
  </si>
  <si>
    <t>EMP1486</t>
  </si>
  <si>
    <t>Tanya Malhotra</t>
  </si>
  <si>
    <t>EMP1487</t>
  </si>
  <si>
    <t>EMP1488</t>
  </si>
  <si>
    <t>EMP1489</t>
  </si>
  <si>
    <t>Arjun Kumar</t>
  </si>
  <si>
    <t>EMP1490</t>
  </si>
  <si>
    <t>Divya Iyer</t>
  </si>
  <si>
    <t>EMP1491</t>
  </si>
  <si>
    <t>Karan Joshi</t>
  </si>
  <si>
    <t>EMP1492</t>
  </si>
  <si>
    <t>EMP1493</t>
  </si>
  <si>
    <t>Shreya Kumar</t>
  </si>
  <si>
    <t>EMP1494</t>
  </si>
  <si>
    <t>Aditi Agarwal</t>
  </si>
  <si>
    <t>EMP1495</t>
  </si>
  <si>
    <t>Riya Kapoor</t>
  </si>
  <si>
    <t>EMP1496</t>
  </si>
  <si>
    <t>EMP1497</t>
  </si>
  <si>
    <t>Aditi Das</t>
  </si>
  <si>
    <t>EMP1498</t>
  </si>
  <si>
    <t>EMP1499</t>
  </si>
  <si>
    <t>Aditya Kumar</t>
  </si>
  <si>
    <t>EMP1500</t>
  </si>
  <si>
    <t>Row Labels</t>
  </si>
  <si>
    <t>Grand Total</t>
  </si>
  <si>
    <t>Count of Employee ID</t>
  </si>
  <si>
    <t>Age Group</t>
  </si>
  <si>
    <t>Salary Band</t>
  </si>
  <si>
    <t>Experience Band</t>
  </si>
  <si>
    <t>Attrition Flag</t>
  </si>
  <si>
    <t>Experience years</t>
  </si>
  <si>
    <t>KPI Summary</t>
  </si>
  <si>
    <t>Total Employees</t>
  </si>
  <si>
    <t>Attrition Count</t>
  </si>
  <si>
    <t>Attrition Rate</t>
  </si>
  <si>
    <t>Average Salary</t>
  </si>
  <si>
    <t>Attrition by Department</t>
  </si>
  <si>
    <t>Attrition by Gender</t>
  </si>
  <si>
    <t>Attrition by Age Group</t>
  </si>
  <si>
    <t>21-24</t>
  </si>
  <si>
    <t>25-29</t>
  </si>
  <si>
    <t>30-39</t>
  </si>
  <si>
    <t>40-49</t>
  </si>
  <si>
    <t>50+</t>
  </si>
  <si>
    <t>Attrition by Salary Band</t>
  </si>
  <si>
    <t>10-15 LPA</t>
  </si>
  <si>
    <t>15+ LPA</t>
  </si>
  <si>
    <t>5-10 LPA</t>
  </si>
  <si>
    <t>Below 5 LPA</t>
  </si>
  <si>
    <t>Performance Rating vs Attrition</t>
  </si>
  <si>
    <t>Attrition by Experience Band</t>
  </si>
  <si>
    <t>0-2 Years</t>
  </si>
  <si>
    <t>10+ Years</t>
  </si>
  <si>
    <t>3-5 Years</t>
  </si>
  <si>
    <t>6-10 Years</t>
  </si>
  <si>
    <t>Attrition by City</t>
  </si>
  <si>
    <t>Average Salary by Department</t>
  </si>
  <si>
    <t>Average of Salary</t>
  </si>
  <si>
    <t>HR ANALYTICS &amp; ATTRITION DASHBOARD</t>
  </si>
  <si>
    <t>Employee Workforce &amp; Attrition Insights</t>
  </si>
  <si>
    <t>TOTAL EMPLOYEES</t>
  </si>
  <si>
    <t>ATTRITION COUNT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</si>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</sst>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33" borderId="0" xfId="0" applyFill="1"/>
    <xf numFmtId="0" fontId="19" fillId="0" borderId="0" xfId="0" applyFont="1"/>
    <xf numFmtId="0" fontId="18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0" fillId="0" borderId="10" xfId="0" applyFont="1" applyBorder="1"/>
    <xf numFmtId="0" fontId="21" fillId="0" borderId="12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16" fillId="0" borderId="11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20" fillId="34" borderId="10" xfId="0" applyFont="1" applyFill="1" applyBorder="1"/>
    <xf numFmtId="0" fontId="13" fillId="35" borderId="0" xfId="0" applyFont="1" applyFill="1"/>
    <xf numFmtId="0" fontId="13" fillId="35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</a:t>
            </a:r>
          </a:p>
        </c:rich>
      </c:tx>
      <c:layout>
        <c:manualLayout>
          <c:xMode val="edge"/>
          <c:yMode val="edge"/>
          <c:x val="0.33281915448097954"/>
          <c:y val="7.42825074344723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978089868035741"/>
          <c:y val="0.27202686311938279"/>
          <c:w val="0.36331687165404314"/>
          <c:h val="0.527087748140439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Analysis'!$B$9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Analysis'!$A$10:$A$18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Human Resources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Research &amp; Development</c:v>
                </c:pt>
                <c:pt idx="7">
                  <c:v>Sales</c:v>
                </c:pt>
              </c:strCache>
            </c:strRef>
          </c:cat>
          <c:val>
            <c:numRef>
              <c:f>'Pivot Analysis'!$B$10:$B$18</c:f>
              <c:numCache>
                <c:formatCode>General</c:formatCode>
                <c:ptCount val="8"/>
                <c:pt idx="0">
                  <c:v>14</c:v>
                </c:pt>
                <c:pt idx="1">
                  <c:v>10</c:v>
                </c:pt>
                <c:pt idx="2">
                  <c:v>12</c:v>
                </c:pt>
                <c:pt idx="3">
                  <c:v>18</c:v>
                </c:pt>
                <c:pt idx="4">
                  <c:v>11</c:v>
                </c:pt>
                <c:pt idx="5">
                  <c:v>17</c:v>
                </c:pt>
                <c:pt idx="6">
                  <c:v>11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3-40FB-BD22-4D05CD9C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32084080"/>
        <c:axId val="432085520"/>
      </c:barChart>
      <c:catAx>
        <c:axId val="43208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85520"/>
        <c:crosses val="autoZero"/>
        <c:auto val="1"/>
        <c:lblAlgn val="ctr"/>
        <c:lblOffset val="100"/>
        <c:noMultiLvlLbl val="0"/>
      </c:catAx>
      <c:valAx>
        <c:axId val="43208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08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all" baseline="0"/>
              <a:t>ATTRITION BY GENDER</a:t>
            </a:r>
            <a:endParaRPr lang="en-US"/>
          </a:p>
        </c:rich>
      </c:tx>
      <c:layout>
        <c:manualLayout>
          <c:xMode val="edge"/>
          <c:yMode val="edge"/>
          <c:x val="0.3246386894818909"/>
          <c:y val="6.1192332600725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36487312585030746"/>
          <c:y val="0.20453855881858002"/>
          <c:w val="0.30757937182253542"/>
          <c:h val="0.73379614284330175"/>
        </c:manualLayout>
      </c:layout>
      <c:doughnutChart>
        <c:varyColors val="1"/>
        <c:ser>
          <c:idx val="0"/>
          <c:order val="0"/>
          <c:tx>
            <c:strRef>
              <c:f>'Pivot Analysis'!$F$9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34-47A2-A04E-D664AA7F62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34-47A2-A04E-D664AA7F62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Analysis'!$E$10:$E$12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Analysis'!$F$10:$F$12</c:f>
              <c:numCache>
                <c:formatCode>General</c:formatCode>
                <c:ptCount val="2"/>
                <c:pt idx="0">
                  <c:v>46</c:v>
                </c:pt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34-47A2-A04E-D664AA7F62D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Analysis!PivotTable7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ATTRITION BY AGE GROUP</a:t>
            </a:r>
            <a:endParaRPr lang="en-US"/>
          </a:p>
        </c:rich>
      </c:tx>
      <c:layout>
        <c:manualLayout>
          <c:xMode val="edge"/>
          <c:yMode val="edge"/>
          <c:x val="0.32885865550016602"/>
          <c:y val="6.1685206728241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40847854334081"/>
          <c:y val="0.24588109796908011"/>
          <c:w val="0.75457487250788002"/>
          <c:h val="0.54409069997017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Analysis'!$A$23:$A$28</c:f>
              <c:strCache>
                <c:ptCount val="5"/>
                <c:pt idx="0">
                  <c:v>21-24</c:v>
                </c:pt>
                <c:pt idx="1">
                  <c:v>25-29</c:v>
                </c:pt>
                <c:pt idx="2">
                  <c:v>30-39</c:v>
                </c:pt>
                <c:pt idx="3">
                  <c:v>40-49</c:v>
                </c:pt>
                <c:pt idx="4">
                  <c:v>50+</c:v>
                </c:pt>
              </c:strCache>
            </c:strRef>
          </c:cat>
          <c:val>
            <c:numRef>
              <c:f>'Pivot Analysis'!$B$23:$B$28</c:f>
              <c:numCache>
                <c:formatCode>General</c:formatCode>
                <c:ptCount val="5"/>
                <c:pt idx="0">
                  <c:v>29</c:v>
                </c:pt>
                <c:pt idx="1">
                  <c:v>41</c:v>
                </c:pt>
                <c:pt idx="2">
                  <c:v>28</c:v>
                </c:pt>
                <c:pt idx="3">
                  <c:v>15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E-4659-B289-2615C9A91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3384248"/>
        <c:axId val="543383888"/>
      </c:barChart>
      <c:catAx>
        <c:axId val="543384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83888"/>
        <c:crosses val="autoZero"/>
        <c:auto val="1"/>
        <c:lblAlgn val="ctr"/>
        <c:lblOffset val="100"/>
        <c:noMultiLvlLbl val="0"/>
      </c:catAx>
      <c:valAx>
        <c:axId val="54338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8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Salary Band</a:t>
            </a:r>
          </a:p>
        </c:rich>
      </c:tx>
      <c:layout>
        <c:manualLayout>
          <c:xMode val="edge"/>
          <c:yMode val="edge"/>
          <c:x val="0.33137459407618819"/>
          <c:y val="5.63613135943488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95936180423923"/>
          <c:y val="0.27365202651561166"/>
          <c:w val="0.72531570228969311"/>
          <c:h val="0.507396835312241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Analysis'!$F$17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Analysis'!$E$18:$E$22</c:f>
              <c:strCache>
                <c:ptCount val="4"/>
                <c:pt idx="0">
                  <c:v>10-15 LPA</c:v>
                </c:pt>
                <c:pt idx="1">
                  <c:v>15+ LPA</c:v>
                </c:pt>
                <c:pt idx="2">
                  <c:v>5-10 LPA</c:v>
                </c:pt>
                <c:pt idx="3">
                  <c:v>Below 5 LPA</c:v>
                </c:pt>
              </c:strCache>
            </c:strRef>
          </c:cat>
          <c:val>
            <c:numRef>
              <c:f>'Pivot Analysis'!$F$18:$F$22</c:f>
              <c:numCache>
                <c:formatCode>General</c:formatCode>
                <c:ptCount val="4"/>
                <c:pt idx="0">
                  <c:v>43</c:v>
                </c:pt>
                <c:pt idx="1">
                  <c:v>12</c:v>
                </c:pt>
                <c:pt idx="2">
                  <c:v>52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1-4AA8-8869-8FEBA9C2C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3707056"/>
        <c:axId val="373708496"/>
      </c:barChart>
      <c:catAx>
        <c:axId val="37370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708496"/>
        <c:crosses val="autoZero"/>
        <c:auto val="1"/>
        <c:lblAlgn val="ctr"/>
        <c:lblOffset val="100"/>
        <c:noMultiLvlLbl val="0"/>
      </c:catAx>
      <c:valAx>
        <c:axId val="37370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70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project.xlsx]Pivot 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PERFORMANCE RATING VS ATTRITION</a:t>
            </a:r>
            <a:endParaRPr lang="en-US"/>
          </a:p>
        </c:rich>
      </c:tx>
      <c:layout>
        <c:manualLayout>
          <c:xMode val="edge"/>
          <c:yMode val="edge"/>
          <c:x val="0.3027926293794887"/>
          <c:y val="2.2534042856558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09357456128364"/>
          <c:y val="0.3134916664458231"/>
          <c:w val="0.82816627257078679"/>
          <c:h val="0.462476155656308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Analysis'!$A$34:$A$39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Analysis'!$B$34:$B$39</c:f>
              <c:numCache>
                <c:formatCode>General</c:formatCode>
                <c:ptCount val="5"/>
                <c:pt idx="0">
                  <c:v>5</c:v>
                </c:pt>
                <c:pt idx="1">
                  <c:v>21</c:v>
                </c:pt>
                <c:pt idx="2">
                  <c:v>62</c:v>
                </c:pt>
                <c:pt idx="3">
                  <c:v>20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9-444E-8B54-2A9D23989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3382448"/>
        <c:axId val="543382808"/>
      </c:barChart>
      <c:catAx>
        <c:axId val="54338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82808"/>
        <c:crosses val="autoZero"/>
        <c:auto val="1"/>
        <c:lblAlgn val="ctr"/>
        <c:lblOffset val="100"/>
        <c:noMultiLvlLbl val="0"/>
      </c:catAx>
      <c:valAx>
        <c:axId val="54338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8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0</xdr:rowOff>
    </xdr:from>
    <xdr:to>
      <xdr:col>6</xdr:col>
      <xdr:colOff>227135</xdr:colOff>
      <xdr:row>15</xdr:row>
      <xdr:rowOff>67236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095E1-634F-4105-BF59-A69A8B3A9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351692</xdr:colOff>
      <xdr:row>6</xdr:row>
      <xdr:rowOff>190499</xdr:rowOff>
    </xdr:from>
    <xdr:to>
      <xdr:col>12</xdr:col>
      <xdr:colOff>448237</xdr:colOff>
      <xdr:row>15</xdr:row>
      <xdr:rowOff>67235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6C6DF7-40F7-410F-9681-22FCC064A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139212</xdr:rowOff>
    </xdr:from>
    <xdr:to>
      <xdr:col>6</xdr:col>
      <xdr:colOff>224118</xdr:colOff>
      <xdr:row>26</xdr:row>
      <xdr:rowOff>168088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8B84C5-E1CF-48D6-AE07-4275E2089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347381</xdr:colOff>
      <xdr:row>15</xdr:row>
      <xdr:rowOff>146538</xdr:rowOff>
    </xdr:from>
    <xdr:to>
      <xdr:col>12</xdr:col>
      <xdr:colOff>459441</xdr:colOff>
      <xdr:row>26</xdr:row>
      <xdr:rowOff>168087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CAD69C-41AF-49BF-9B8C-B705AE0E7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27</xdr:row>
      <xdr:rowOff>22411</xdr:rowOff>
    </xdr:from>
    <xdr:to>
      <xdr:col>12</xdr:col>
      <xdr:colOff>459441</xdr:colOff>
      <xdr:row>36</xdr:row>
      <xdr:rowOff>156882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7EF661-54F1-4FD3-A8C5-988C8AA87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9.692648611112" createdVersion="8" refreshedVersion="8" minRefreshableVersion="3" recordCount="500" xr:uid="{4A5966A2-F523-49FB-A1E9-08DF24EBABAD}">
  <cacheSource type="worksheet">
    <worksheetSource ref="A1:M501" sheet="Data Preparation"/>
  </cacheSource>
  <cacheFields count="13">
    <cacheField name="Employee ID" numFmtId="0">
      <sharedItems/>
    </cacheField>
    <cacheField name="Age" numFmtId="0">
      <sharedItems containsSemiMixedTypes="0" containsString="0" containsNumber="1" containsInteger="1" minValue="21" maxValue="53"/>
    </cacheField>
    <cacheField name="Salary" numFmtId="0">
      <sharedItems containsSemiMixedTypes="0" containsString="0" containsNumber="1" containsInteger="1" minValue="292721" maxValue="2423862"/>
    </cacheField>
    <cacheField name="Experience years" numFmtId="0">
      <sharedItems containsSemiMixedTypes="0" containsString="0" containsNumber="1" containsInteger="1" minValue="0" maxValue="20"/>
    </cacheField>
    <cacheField name="Attrition" numFmtId="0">
      <sharedItems count="2">
        <s v="Yes"/>
        <s v="No"/>
      </sharedItems>
    </cacheField>
    <cacheField name="Performance Rating" numFmtId="0">
      <sharedItems containsSemiMixedTypes="0" containsString="0" containsNumber="1" containsInteger="1" minValue="1" maxValue="5" count="5">
        <n v="3"/>
        <n v="4"/>
        <n v="2"/>
        <n v="5"/>
        <n v="1"/>
      </sharedItems>
    </cacheField>
    <cacheField name="Department" numFmtId="0">
      <sharedItems count="8">
        <s v="Finance"/>
        <s v="IT"/>
        <s v="Sales"/>
        <s v="Research &amp; Development"/>
        <s v="Operations"/>
        <s v="Human Resources"/>
        <s v="Customer Support"/>
        <s v="Marketing"/>
      </sharedItems>
    </cacheField>
    <cacheField name="City" numFmtId="0">
      <sharedItems count="10">
        <s v="Pune"/>
        <s v="Mumbai"/>
        <s v="Bengaluru"/>
        <s v="Kolkata"/>
        <s v="Ahmedabad"/>
        <s v="Gurugram"/>
        <s v="Hyderabad"/>
        <s v="Noida"/>
        <s v="Chennai"/>
        <s v="Delhi"/>
      </sharedItems>
    </cacheField>
    <cacheField name="Gender" numFmtId="0">
      <sharedItems count="2">
        <s v="Male"/>
        <s v="Female"/>
      </sharedItems>
    </cacheField>
    <cacheField name="Age Group" numFmtId="0">
      <sharedItems count="5">
        <s v="21-24"/>
        <s v="30-39"/>
        <s v="25-29"/>
        <s v="40-49"/>
        <s v="50+"/>
      </sharedItems>
    </cacheField>
    <cacheField name="Salary Band" numFmtId="0">
      <sharedItems count="4">
        <s v="5-10 LPA"/>
        <s v="10-15 LPA"/>
        <s v="15+ LPA"/>
        <s v="Below 5 LPA"/>
      </sharedItems>
    </cacheField>
    <cacheField name="Experience Band" numFmtId="0">
      <sharedItems count="4">
        <s v="0-2 Years"/>
        <s v="6-10 Years"/>
        <s v="3-5 Years"/>
        <s v="10+ Years"/>
      </sharedItems>
    </cacheField>
    <cacheField name="Attritio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EMP1001"/>
    <n v="24"/>
    <n v="915113"/>
    <n v="2"/>
    <x v="0"/>
    <x v="0"/>
    <x v="0"/>
    <x v="0"/>
    <x v="0"/>
    <x v="0"/>
    <x v="0"/>
    <x v="0"/>
    <n v="1"/>
  </r>
  <r>
    <s v="EMP1002"/>
    <n v="39"/>
    <n v="1058830"/>
    <n v="8"/>
    <x v="1"/>
    <x v="0"/>
    <x v="0"/>
    <x v="1"/>
    <x v="1"/>
    <x v="1"/>
    <x v="1"/>
    <x v="1"/>
    <n v="0"/>
  </r>
  <r>
    <s v="EMP1003"/>
    <n v="37"/>
    <n v="916699"/>
    <n v="4"/>
    <x v="1"/>
    <x v="1"/>
    <x v="0"/>
    <x v="2"/>
    <x v="0"/>
    <x v="1"/>
    <x v="0"/>
    <x v="2"/>
    <n v="0"/>
  </r>
  <r>
    <s v="EMP1004"/>
    <n v="21"/>
    <n v="909983"/>
    <n v="0"/>
    <x v="1"/>
    <x v="2"/>
    <x v="1"/>
    <x v="3"/>
    <x v="0"/>
    <x v="0"/>
    <x v="0"/>
    <x v="0"/>
    <n v="0"/>
  </r>
  <r>
    <s v="EMP1005"/>
    <n v="27"/>
    <n v="1078060"/>
    <n v="6"/>
    <x v="0"/>
    <x v="0"/>
    <x v="0"/>
    <x v="3"/>
    <x v="1"/>
    <x v="2"/>
    <x v="1"/>
    <x v="1"/>
    <n v="1"/>
  </r>
  <r>
    <s v="EMP1006"/>
    <n v="30"/>
    <n v="775124"/>
    <n v="7"/>
    <x v="1"/>
    <x v="0"/>
    <x v="2"/>
    <x v="4"/>
    <x v="1"/>
    <x v="1"/>
    <x v="0"/>
    <x v="1"/>
    <n v="0"/>
  </r>
  <r>
    <s v="EMP1007"/>
    <n v="33"/>
    <n v="1489182"/>
    <n v="9"/>
    <x v="1"/>
    <x v="0"/>
    <x v="3"/>
    <x v="5"/>
    <x v="1"/>
    <x v="1"/>
    <x v="1"/>
    <x v="1"/>
    <n v="0"/>
  </r>
  <r>
    <s v="EMP1008"/>
    <n v="21"/>
    <n v="981326"/>
    <n v="0"/>
    <x v="1"/>
    <x v="2"/>
    <x v="0"/>
    <x v="6"/>
    <x v="0"/>
    <x v="0"/>
    <x v="0"/>
    <x v="0"/>
    <n v="0"/>
  </r>
  <r>
    <s v="EMP1009"/>
    <n v="36"/>
    <n v="1406355"/>
    <n v="10"/>
    <x v="1"/>
    <x v="2"/>
    <x v="4"/>
    <x v="5"/>
    <x v="1"/>
    <x v="1"/>
    <x v="1"/>
    <x v="1"/>
    <n v="0"/>
  </r>
  <r>
    <s v="EMP1010"/>
    <n v="27"/>
    <n v="528290"/>
    <n v="1"/>
    <x v="1"/>
    <x v="1"/>
    <x v="2"/>
    <x v="4"/>
    <x v="1"/>
    <x v="2"/>
    <x v="0"/>
    <x v="0"/>
    <n v="0"/>
  </r>
  <r>
    <s v="EMP1011"/>
    <n v="24"/>
    <n v="1154589"/>
    <n v="1"/>
    <x v="1"/>
    <x v="0"/>
    <x v="4"/>
    <x v="7"/>
    <x v="1"/>
    <x v="0"/>
    <x v="1"/>
    <x v="0"/>
    <n v="0"/>
  </r>
  <r>
    <s v="EMP1012"/>
    <n v="34"/>
    <n v="858089"/>
    <n v="7"/>
    <x v="1"/>
    <x v="1"/>
    <x v="2"/>
    <x v="3"/>
    <x v="0"/>
    <x v="1"/>
    <x v="0"/>
    <x v="1"/>
    <n v="0"/>
  </r>
  <r>
    <s v="EMP1013"/>
    <n v="26"/>
    <n v="875130"/>
    <n v="4"/>
    <x v="1"/>
    <x v="1"/>
    <x v="5"/>
    <x v="6"/>
    <x v="0"/>
    <x v="2"/>
    <x v="0"/>
    <x v="2"/>
    <n v="0"/>
  </r>
  <r>
    <s v="EMP1014"/>
    <n v="40"/>
    <n v="1037178"/>
    <n v="10"/>
    <x v="0"/>
    <x v="0"/>
    <x v="4"/>
    <x v="6"/>
    <x v="0"/>
    <x v="3"/>
    <x v="1"/>
    <x v="1"/>
    <n v="1"/>
  </r>
  <r>
    <s v="EMP1015"/>
    <n v="40"/>
    <n v="691034"/>
    <n v="9"/>
    <x v="0"/>
    <x v="0"/>
    <x v="6"/>
    <x v="1"/>
    <x v="0"/>
    <x v="3"/>
    <x v="0"/>
    <x v="1"/>
    <n v="1"/>
  </r>
  <r>
    <s v="EMP1016"/>
    <n v="34"/>
    <n v="1488864"/>
    <n v="6"/>
    <x v="1"/>
    <x v="0"/>
    <x v="1"/>
    <x v="8"/>
    <x v="0"/>
    <x v="1"/>
    <x v="1"/>
    <x v="1"/>
    <n v="0"/>
  </r>
  <r>
    <s v="EMP1017"/>
    <n v="31"/>
    <n v="509211"/>
    <n v="0"/>
    <x v="0"/>
    <x v="0"/>
    <x v="2"/>
    <x v="6"/>
    <x v="1"/>
    <x v="1"/>
    <x v="0"/>
    <x v="0"/>
    <n v="1"/>
  </r>
  <r>
    <s v="EMP1018"/>
    <n v="28"/>
    <n v="1272139"/>
    <n v="3"/>
    <x v="1"/>
    <x v="3"/>
    <x v="0"/>
    <x v="9"/>
    <x v="0"/>
    <x v="2"/>
    <x v="1"/>
    <x v="2"/>
    <n v="0"/>
  </r>
  <r>
    <s v="EMP1019"/>
    <n v="26"/>
    <n v="1026468"/>
    <n v="5"/>
    <x v="0"/>
    <x v="0"/>
    <x v="4"/>
    <x v="5"/>
    <x v="1"/>
    <x v="2"/>
    <x v="1"/>
    <x v="2"/>
    <n v="1"/>
  </r>
  <r>
    <s v="EMP1020"/>
    <n v="41"/>
    <n v="1029033"/>
    <n v="8"/>
    <x v="0"/>
    <x v="0"/>
    <x v="5"/>
    <x v="8"/>
    <x v="1"/>
    <x v="3"/>
    <x v="1"/>
    <x v="1"/>
    <n v="1"/>
  </r>
  <r>
    <s v="EMP1021"/>
    <n v="36"/>
    <n v="1135849"/>
    <n v="4"/>
    <x v="1"/>
    <x v="2"/>
    <x v="0"/>
    <x v="8"/>
    <x v="0"/>
    <x v="1"/>
    <x v="1"/>
    <x v="2"/>
    <n v="0"/>
  </r>
  <r>
    <s v="EMP1022"/>
    <n v="30"/>
    <n v="951222"/>
    <n v="7"/>
    <x v="1"/>
    <x v="0"/>
    <x v="6"/>
    <x v="6"/>
    <x v="0"/>
    <x v="1"/>
    <x v="0"/>
    <x v="1"/>
    <n v="0"/>
  </r>
  <r>
    <s v="EMP1023"/>
    <n v="21"/>
    <n v="948087"/>
    <n v="0"/>
    <x v="0"/>
    <x v="2"/>
    <x v="2"/>
    <x v="7"/>
    <x v="0"/>
    <x v="0"/>
    <x v="0"/>
    <x v="0"/>
    <n v="1"/>
  </r>
  <r>
    <s v="EMP1024"/>
    <n v="40"/>
    <n v="1272708"/>
    <n v="11"/>
    <x v="1"/>
    <x v="0"/>
    <x v="5"/>
    <x v="0"/>
    <x v="1"/>
    <x v="3"/>
    <x v="1"/>
    <x v="3"/>
    <n v="0"/>
  </r>
  <r>
    <s v="EMP1025"/>
    <n v="37"/>
    <n v="794297"/>
    <n v="5"/>
    <x v="1"/>
    <x v="1"/>
    <x v="2"/>
    <x v="3"/>
    <x v="1"/>
    <x v="1"/>
    <x v="0"/>
    <x v="2"/>
    <n v="0"/>
  </r>
  <r>
    <s v="EMP1026"/>
    <n v="40"/>
    <n v="1129663"/>
    <n v="9"/>
    <x v="1"/>
    <x v="3"/>
    <x v="2"/>
    <x v="5"/>
    <x v="0"/>
    <x v="3"/>
    <x v="1"/>
    <x v="1"/>
    <n v="0"/>
  </r>
  <r>
    <s v="EMP1027"/>
    <n v="40"/>
    <n v="1595923"/>
    <n v="12"/>
    <x v="1"/>
    <x v="1"/>
    <x v="1"/>
    <x v="3"/>
    <x v="1"/>
    <x v="3"/>
    <x v="2"/>
    <x v="3"/>
    <n v="0"/>
  </r>
  <r>
    <s v="EMP1028"/>
    <n v="31"/>
    <n v="1618422"/>
    <n v="2"/>
    <x v="1"/>
    <x v="1"/>
    <x v="3"/>
    <x v="1"/>
    <x v="0"/>
    <x v="1"/>
    <x v="2"/>
    <x v="0"/>
    <n v="0"/>
  </r>
  <r>
    <s v="EMP1029"/>
    <n v="31"/>
    <n v="1174278"/>
    <n v="7"/>
    <x v="1"/>
    <x v="0"/>
    <x v="3"/>
    <x v="5"/>
    <x v="0"/>
    <x v="1"/>
    <x v="1"/>
    <x v="1"/>
    <n v="0"/>
  </r>
  <r>
    <s v="EMP1030"/>
    <n v="37"/>
    <n v="1537883"/>
    <n v="9"/>
    <x v="0"/>
    <x v="0"/>
    <x v="3"/>
    <x v="4"/>
    <x v="0"/>
    <x v="1"/>
    <x v="2"/>
    <x v="1"/>
    <n v="1"/>
  </r>
  <r>
    <s v="EMP1031"/>
    <n v="39"/>
    <n v="1013689"/>
    <n v="10"/>
    <x v="1"/>
    <x v="0"/>
    <x v="4"/>
    <x v="2"/>
    <x v="1"/>
    <x v="1"/>
    <x v="1"/>
    <x v="1"/>
    <n v="0"/>
  </r>
  <r>
    <s v="EMP1032"/>
    <n v="41"/>
    <n v="1506745"/>
    <n v="12"/>
    <x v="1"/>
    <x v="0"/>
    <x v="4"/>
    <x v="8"/>
    <x v="1"/>
    <x v="3"/>
    <x v="2"/>
    <x v="3"/>
    <n v="0"/>
  </r>
  <r>
    <s v="EMP1033"/>
    <n v="23"/>
    <n v="866432"/>
    <n v="0"/>
    <x v="0"/>
    <x v="0"/>
    <x v="0"/>
    <x v="9"/>
    <x v="1"/>
    <x v="0"/>
    <x v="0"/>
    <x v="0"/>
    <n v="1"/>
  </r>
  <r>
    <s v="EMP1034"/>
    <n v="28"/>
    <n v="1058005"/>
    <n v="2"/>
    <x v="1"/>
    <x v="1"/>
    <x v="0"/>
    <x v="0"/>
    <x v="1"/>
    <x v="2"/>
    <x v="1"/>
    <x v="0"/>
    <n v="0"/>
  </r>
  <r>
    <s v="EMP1035"/>
    <n v="48"/>
    <n v="2423862"/>
    <n v="20"/>
    <x v="1"/>
    <x v="0"/>
    <x v="1"/>
    <x v="1"/>
    <x v="1"/>
    <x v="3"/>
    <x v="2"/>
    <x v="3"/>
    <n v="0"/>
  </r>
  <r>
    <s v="EMP1036"/>
    <n v="35"/>
    <n v="814673"/>
    <n v="5"/>
    <x v="1"/>
    <x v="1"/>
    <x v="5"/>
    <x v="8"/>
    <x v="0"/>
    <x v="1"/>
    <x v="0"/>
    <x v="2"/>
    <n v="0"/>
  </r>
  <r>
    <s v="EMP1037"/>
    <n v="29"/>
    <n v="790084"/>
    <n v="3"/>
    <x v="1"/>
    <x v="0"/>
    <x v="2"/>
    <x v="8"/>
    <x v="0"/>
    <x v="2"/>
    <x v="0"/>
    <x v="2"/>
    <n v="0"/>
  </r>
  <r>
    <s v="EMP1038"/>
    <n v="40"/>
    <n v="1720921"/>
    <n v="16"/>
    <x v="1"/>
    <x v="0"/>
    <x v="7"/>
    <x v="8"/>
    <x v="1"/>
    <x v="3"/>
    <x v="2"/>
    <x v="3"/>
    <n v="0"/>
  </r>
  <r>
    <s v="EMP1039"/>
    <n v="30"/>
    <n v="1398455"/>
    <n v="9"/>
    <x v="1"/>
    <x v="0"/>
    <x v="0"/>
    <x v="6"/>
    <x v="0"/>
    <x v="1"/>
    <x v="1"/>
    <x v="1"/>
    <n v="0"/>
  </r>
  <r>
    <s v="EMP1040"/>
    <n v="31"/>
    <n v="831766"/>
    <n v="4"/>
    <x v="1"/>
    <x v="0"/>
    <x v="7"/>
    <x v="7"/>
    <x v="1"/>
    <x v="1"/>
    <x v="0"/>
    <x v="2"/>
    <n v="0"/>
  </r>
  <r>
    <s v="EMP1041"/>
    <n v="30"/>
    <n v="1154236"/>
    <n v="5"/>
    <x v="1"/>
    <x v="0"/>
    <x v="1"/>
    <x v="7"/>
    <x v="1"/>
    <x v="1"/>
    <x v="1"/>
    <x v="2"/>
    <n v="0"/>
  </r>
  <r>
    <s v="EMP1042"/>
    <n v="40"/>
    <n v="1607948"/>
    <n v="9"/>
    <x v="0"/>
    <x v="2"/>
    <x v="3"/>
    <x v="4"/>
    <x v="0"/>
    <x v="3"/>
    <x v="2"/>
    <x v="1"/>
    <n v="1"/>
  </r>
  <r>
    <s v="EMP1043"/>
    <n v="28"/>
    <n v="573998"/>
    <n v="4"/>
    <x v="1"/>
    <x v="0"/>
    <x v="2"/>
    <x v="6"/>
    <x v="0"/>
    <x v="2"/>
    <x v="0"/>
    <x v="2"/>
    <n v="0"/>
  </r>
  <r>
    <s v="EMP1044"/>
    <n v="29"/>
    <n v="1119166"/>
    <n v="6"/>
    <x v="1"/>
    <x v="1"/>
    <x v="2"/>
    <x v="8"/>
    <x v="1"/>
    <x v="2"/>
    <x v="1"/>
    <x v="1"/>
    <n v="0"/>
  </r>
  <r>
    <s v="EMP1045"/>
    <n v="21"/>
    <n v="689757"/>
    <n v="0"/>
    <x v="0"/>
    <x v="1"/>
    <x v="4"/>
    <x v="6"/>
    <x v="1"/>
    <x v="0"/>
    <x v="0"/>
    <x v="0"/>
    <n v="1"/>
  </r>
  <r>
    <s v="EMP1046"/>
    <n v="28"/>
    <n v="766890"/>
    <n v="7"/>
    <x v="0"/>
    <x v="0"/>
    <x v="2"/>
    <x v="2"/>
    <x v="1"/>
    <x v="2"/>
    <x v="0"/>
    <x v="1"/>
    <n v="1"/>
  </r>
  <r>
    <s v="EMP1047"/>
    <n v="30"/>
    <n v="1207108"/>
    <n v="3"/>
    <x v="1"/>
    <x v="0"/>
    <x v="3"/>
    <x v="1"/>
    <x v="1"/>
    <x v="1"/>
    <x v="1"/>
    <x v="2"/>
    <n v="0"/>
  </r>
  <r>
    <s v="EMP1048"/>
    <n v="39"/>
    <n v="1306249"/>
    <n v="13"/>
    <x v="1"/>
    <x v="2"/>
    <x v="4"/>
    <x v="2"/>
    <x v="0"/>
    <x v="1"/>
    <x v="1"/>
    <x v="3"/>
    <n v="0"/>
  </r>
  <r>
    <s v="EMP1049"/>
    <n v="21"/>
    <n v="580245"/>
    <n v="0"/>
    <x v="0"/>
    <x v="2"/>
    <x v="6"/>
    <x v="6"/>
    <x v="0"/>
    <x v="0"/>
    <x v="0"/>
    <x v="0"/>
    <n v="1"/>
  </r>
  <r>
    <s v="EMP1050"/>
    <n v="41"/>
    <n v="1415884"/>
    <n v="9"/>
    <x v="1"/>
    <x v="0"/>
    <x v="0"/>
    <x v="3"/>
    <x v="1"/>
    <x v="3"/>
    <x v="1"/>
    <x v="1"/>
    <n v="0"/>
  </r>
  <r>
    <s v="EMP1051"/>
    <n v="27"/>
    <n v="836663"/>
    <n v="6"/>
    <x v="0"/>
    <x v="1"/>
    <x v="0"/>
    <x v="7"/>
    <x v="1"/>
    <x v="2"/>
    <x v="0"/>
    <x v="1"/>
    <n v="1"/>
  </r>
  <r>
    <s v="EMP1052"/>
    <n v="42"/>
    <n v="1311020"/>
    <n v="11"/>
    <x v="1"/>
    <x v="2"/>
    <x v="5"/>
    <x v="1"/>
    <x v="0"/>
    <x v="3"/>
    <x v="1"/>
    <x v="3"/>
    <n v="0"/>
  </r>
  <r>
    <s v="EMP1053"/>
    <n v="35"/>
    <n v="1192111"/>
    <n v="7"/>
    <x v="0"/>
    <x v="3"/>
    <x v="7"/>
    <x v="5"/>
    <x v="1"/>
    <x v="1"/>
    <x v="1"/>
    <x v="1"/>
    <n v="1"/>
  </r>
  <r>
    <s v="EMP1054"/>
    <n v="35"/>
    <n v="1273133"/>
    <n v="8"/>
    <x v="1"/>
    <x v="3"/>
    <x v="5"/>
    <x v="1"/>
    <x v="1"/>
    <x v="1"/>
    <x v="1"/>
    <x v="1"/>
    <n v="0"/>
  </r>
  <r>
    <s v="EMP1055"/>
    <n v="28"/>
    <n v="1275016"/>
    <n v="7"/>
    <x v="1"/>
    <x v="0"/>
    <x v="1"/>
    <x v="8"/>
    <x v="1"/>
    <x v="2"/>
    <x v="1"/>
    <x v="1"/>
    <n v="0"/>
  </r>
  <r>
    <s v="EMP1056"/>
    <n v="38"/>
    <n v="942682"/>
    <n v="2"/>
    <x v="1"/>
    <x v="3"/>
    <x v="1"/>
    <x v="6"/>
    <x v="0"/>
    <x v="1"/>
    <x v="0"/>
    <x v="0"/>
    <n v="0"/>
  </r>
  <r>
    <s v="EMP1057"/>
    <n v="21"/>
    <n v="843776"/>
    <n v="0"/>
    <x v="1"/>
    <x v="0"/>
    <x v="6"/>
    <x v="9"/>
    <x v="1"/>
    <x v="0"/>
    <x v="0"/>
    <x v="0"/>
    <n v="0"/>
  </r>
  <r>
    <s v="EMP1058"/>
    <n v="42"/>
    <n v="1807774"/>
    <n v="15"/>
    <x v="1"/>
    <x v="0"/>
    <x v="3"/>
    <x v="1"/>
    <x v="1"/>
    <x v="3"/>
    <x v="2"/>
    <x v="3"/>
    <n v="0"/>
  </r>
  <r>
    <s v="EMP1059"/>
    <n v="33"/>
    <n v="1417723"/>
    <n v="7"/>
    <x v="1"/>
    <x v="1"/>
    <x v="1"/>
    <x v="3"/>
    <x v="1"/>
    <x v="1"/>
    <x v="1"/>
    <x v="1"/>
    <n v="0"/>
  </r>
  <r>
    <s v="EMP1060"/>
    <n v="31"/>
    <n v="729228"/>
    <n v="5"/>
    <x v="1"/>
    <x v="1"/>
    <x v="4"/>
    <x v="9"/>
    <x v="1"/>
    <x v="1"/>
    <x v="0"/>
    <x v="2"/>
    <n v="0"/>
  </r>
  <r>
    <s v="EMP1061"/>
    <n v="22"/>
    <n v="1152989"/>
    <n v="1"/>
    <x v="1"/>
    <x v="0"/>
    <x v="1"/>
    <x v="6"/>
    <x v="0"/>
    <x v="0"/>
    <x v="1"/>
    <x v="0"/>
    <n v="0"/>
  </r>
  <r>
    <s v="EMP1062"/>
    <n v="29"/>
    <n v="1503576"/>
    <n v="7"/>
    <x v="1"/>
    <x v="1"/>
    <x v="1"/>
    <x v="5"/>
    <x v="1"/>
    <x v="2"/>
    <x v="2"/>
    <x v="1"/>
    <n v="0"/>
  </r>
  <r>
    <s v="EMP1063"/>
    <n v="42"/>
    <n v="974221"/>
    <n v="14"/>
    <x v="1"/>
    <x v="0"/>
    <x v="2"/>
    <x v="7"/>
    <x v="0"/>
    <x v="3"/>
    <x v="0"/>
    <x v="3"/>
    <n v="0"/>
  </r>
  <r>
    <s v="EMP1064"/>
    <n v="42"/>
    <n v="1496668"/>
    <n v="16"/>
    <x v="1"/>
    <x v="1"/>
    <x v="7"/>
    <x v="3"/>
    <x v="0"/>
    <x v="3"/>
    <x v="1"/>
    <x v="3"/>
    <n v="0"/>
  </r>
  <r>
    <s v="EMP1065"/>
    <n v="31"/>
    <n v="814442"/>
    <n v="7"/>
    <x v="1"/>
    <x v="0"/>
    <x v="2"/>
    <x v="0"/>
    <x v="0"/>
    <x v="1"/>
    <x v="0"/>
    <x v="1"/>
    <n v="0"/>
  </r>
  <r>
    <s v="EMP1066"/>
    <n v="34"/>
    <n v="925410"/>
    <n v="8"/>
    <x v="1"/>
    <x v="1"/>
    <x v="0"/>
    <x v="3"/>
    <x v="0"/>
    <x v="1"/>
    <x v="0"/>
    <x v="1"/>
    <n v="0"/>
  </r>
  <r>
    <s v="EMP1067"/>
    <n v="28"/>
    <n v="546605"/>
    <n v="2"/>
    <x v="0"/>
    <x v="2"/>
    <x v="5"/>
    <x v="2"/>
    <x v="1"/>
    <x v="2"/>
    <x v="0"/>
    <x v="0"/>
    <n v="1"/>
  </r>
  <r>
    <s v="EMP1068"/>
    <n v="28"/>
    <n v="1504690"/>
    <n v="2"/>
    <x v="1"/>
    <x v="4"/>
    <x v="1"/>
    <x v="3"/>
    <x v="0"/>
    <x v="2"/>
    <x v="2"/>
    <x v="0"/>
    <n v="0"/>
  </r>
  <r>
    <s v="EMP1069"/>
    <n v="37"/>
    <n v="895744"/>
    <n v="6"/>
    <x v="1"/>
    <x v="0"/>
    <x v="4"/>
    <x v="1"/>
    <x v="1"/>
    <x v="1"/>
    <x v="0"/>
    <x v="1"/>
    <n v="0"/>
  </r>
  <r>
    <s v="EMP1070"/>
    <n v="23"/>
    <n v="717586"/>
    <n v="2"/>
    <x v="1"/>
    <x v="0"/>
    <x v="5"/>
    <x v="1"/>
    <x v="0"/>
    <x v="0"/>
    <x v="0"/>
    <x v="0"/>
    <n v="0"/>
  </r>
  <r>
    <s v="EMP1071"/>
    <n v="25"/>
    <n v="787054"/>
    <n v="2"/>
    <x v="0"/>
    <x v="0"/>
    <x v="7"/>
    <x v="4"/>
    <x v="0"/>
    <x v="2"/>
    <x v="0"/>
    <x v="0"/>
    <n v="1"/>
  </r>
  <r>
    <s v="EMP1072"/>
    <n v="25"/>
    <n v="752660"/>
    <n v="0"/>
    <x v="1"/>
    <x v="0"/>
    <x v="0"/>
    <x v="1"/>
    <x v="0"/>
    <x v="2"/>
    <x v="0"/>
    <x v="0"/>
    <n v="0"/>
  </r>
  <r>
    <s v="EMP1073"/>
    <n v="25"/>
    <n v="1232854"/>
    <n v="2"/>
    <x v="0"/>
    <x v="2"/>
    <x v="1"/>
    <x v="6"/>
    <x v="1"/>
    <x v="2"/>
    <x v="1"/>
    <x v="0"/>
    <n v="1"/>
  </r>
  <r>
    <s v="EMP1074"/>
    <n v="43"/>
    <n v="1451847"/>
    <n v="14"/>
    <x v="1"/>
    <x v="0"/>
    <x v="7"/>
    <x v="5"/>
    <x v="0"/>
    <x v="3"/>
    <x v="1"/>
    <x v="3"/>
    <n v="0"/>
  </r>
  <r>
    <s v="EMP1075"/>
    <n v="28"/>
    <n v="620427"/>
    <n v="1"/>
    <x v="0"/>
    <x v="1"/>
    <x v="0"/>
    <x v="8"/>
    <x v="0"/>
    <x v="2"/>
    <x v="0"/>
    <x v="0"/>
    <n v="1"/>
  </r>
  <r>
    <s v="EMP1076"/>
    <n v="28"/>
    <n v="975478"/>
    <n v="4"/>
    <x v="1"/>
    <x v="3"/>
    <x v="0"/>
    <x v="4"/>
    <x v="0"/>
    <x v="2"/>
    <x v="0"/>
    <x v="2"/>
    <n v="0"/>
  </r>
  <r>
    <s v="EMP1077"/>
    <n v="26"/>
    <n v="1881398"/>
    <n v="1"/>
    <x v="1"/>
    <x v="0"/>
    <x v="1"/>
    <x v="3"/>
    <x v="1"/>
    <x v="2"/>
    <x v="2"/>
    <x v="0"/>
    <n v="0"/>
  </r>
  <r>
    <s v="EMP1078"/>
    <n v="43"/>
    <n v="1355060"/>
    <n v="9"/>
    <x v="1"/>
    <x v="2"/>
    <x v="1"/>
    <x v="8"/>
    <x v="0"/>
    <x v="3"/>
    <x v="1"/>
    <x v="1"/>
    <n v="0"/>
  </r>
  <r>
    <s v="EMP1079"/>
    <n v="24"/>
    <n v="1046630"/>
    <n v="2"/>
    <x v="0"/>
    <x v="2"/>
    <x v="1"/>
    <x v="0"/>
    <x v="0"/>
    <x v="0"/>
    <x v="1"/>
    <x v="0"/>
    <n v="1"/>
  </r>
  <r>
    <s v="EMP1080"/>
    <n v="29"/>
    <n v="863079"/>
    <n v="7"/>
    <x v="1"/>
    <x v="1"/>
    <x v="2"/>
    <x v="0"/>
    <x v="1"/>
    <x v="2"/>
    <x v="0"/>
    <x v="1"/>
    <n v="0"/>
  </r>
  <r>
    <s v="EMP1081"/>
    <n v="21"/>
    <n v="1290275"/>
    <n v="0"/>
    <x v="0"/>
    <x v="2"/>
    <x v="3"/>
    <x v="1"/>
    <x v="0"/>
    <x v="0"/>
    <x v="1"/>
    <x v="0"/>
    <n v="1"/>
  </r>
  <r>
    <s v="EMP1082"/>
    <n v="32"/>
    <n v="1177897"/>
    <n v="9"/>
    <x v="1"/>
    <x v="0"/>
    <x v="0"/>
    <x v="1"/>
    <x v="1"/>
    <x v="1"/>
    <x v="1"/>
    <x v="1"/>
    <n v="0"/>
  </r>
  <r>
    <s v="EMP1083"/>
    <n v="35"/>
    <n v="1878181"/>
    <n v="10"/>
    <x v="1"/>
    <x v="1"/>
    <x v="1"/>
    <x v="0"/>
    <x v="0"/>
    <x v="1"/>
    <x v="2"/>
    <x v="1"/>
    <n v="0"/>
  </r>
  <r>
    <s v="EMP1084"/>
    <n v="38"/>
    <n v="848363"/>
    <n v="3"/>
    <x v="1"/>
    <x v="0"/>
    <x v="4"/>
    <x v="0"/>
    <x v="0"/>
    <x v="1"/>
    <x v="0"/>
    <x v="2"/>
    <n v="0"/>
  </r>
  <r>
    <s v="EMP1085"/>
    <n v="38"/>
    <n v="1872367"/>
    <n v="9"/>
    <x v="1"/>
    <x v="0"/>
    <x v="1"/>
    <x v="2"/>
    <x v="0"/>
    <x v="1"/>
    <x v="2"/>
    <x v="1"/>
    <n v="0"/>
  </r>
  <r>
    <s v="EMP1086"/>
    <n v="35"/>
    <n v="1139362"/>
    <n v="9"/>
    <x v="1"/>
    <x v="2"/>
    <x v="6"/>
    <x v="2"/>
    <x v="1"/>
    <x v="1"/>
    <x v="1"/>
    <x v="1"/>
    <n v="0"/>
  </r>
  <r>
    <s v="EMP1087"/>
    <n v="42"/>
    <n v="1085827"/>
    <n v="12"/>
    <x v="0"/>
    <x v="2"/>
    <x v="6"/>
    <x v="0"/>
    <x v="0"/>
    <x v="3"/>
    <x v="1"/>
    <x v="3"/>
    <n v="1"/>
  </r>
  <r>
    <s v="EMP1088"/>
    <n v="28"/>
    <n v="1137007"/>
    <n v="6"/>
    <x v="1"/>
    <x v="0"/>
    <x v="4"/>
    <x v="5"/>
    <x v="1"/>
    <x v="2"/>
    <x v="1"/>
    <x v="1"/>
    <n v="0"/>
  </r>
  <r>
    <s v="EMP1089"/>
    <n v="33"/>
    <n v="1061247"/>
    <n v="9"/>
    <x v="0"/>
    <x v="0"/>
    <x v="7"/>
    <x v="9"/>
    <x v="0"/>
    <x v="1"/>
    <x v="1"/>
    <x v="1"/>
    <n v="1"/>
  </r>
  <r>
    <s v="EMP1090"/>
    <n v="50"/>
    <n v="1285318"/>
    <n v="16"/>
    <x v="1"/>
    <x v="0"/>
    <x v="4"/>
    <x v="3"/>
    <x v="1"/>
    <x v="4"/>
    <x v="1"/>
    <x v="3"/>
    <n v="0"/>
  </r>
  <r>
    <s v="EMP1091"/>
    <n v="22"/>
    <n v="661879"/>
    <n v="1"/>
    <x v="1"/>
    <x v="2"/>
    <x v="4"/>
    <x v="2"/>
    <x v="0"/>
    <x v="0"/>
    <x v="0"/>
    <x v="0"/>
    <n v="0"/>
  </r>
  <r>
    <s v="EMP1092"/>
    <n v="37"/>
    <n v="1570977"/>
    <n v="8"/>
    <x v="1"/>
    <x v="2"/>
    <x v="1"/>
    <x v="8"/>
    <x v="1"/>
    <x v="1"/>
    <x v="2"/>
    <x v="1"/>
    <n v="0"/>
  </r>
  <r>
    <s v="EMP1093"/>
    <n v="37"/>
    <n v="684311"/>
    <n v="1"/>
    <x v="0"/>
    <x v="0"/>
    <x v="6"/>
    <x v="1"/>
    <x v="1"/>
    <x v="1"/>
    <x v="0"/>
    <x v="0"/>
    <n v="1"/>
  </r>
  <r>
    <s v="EMP1094"/>
    <n v="26"/>
    <n v="1177954"/>
    <n v="2"/>
    <x v="1"/>
    <x v="1"/>
    <x v="1"/>
    <x v="9"/>
    <x v="0"/>
    <x v="2"/>
    <x v="1"/>
    <x v="0"/>
    <n v="0"/>
  </r>
  <r>
    <s v="EMP1095"/>
    <n v="24"/>
    <n v="1013080"/>
    <n v="3"/>
    <x v="1"/>
    <x v="3"/>
    <x v="3"/>
    <x v="5"/>
    <x v="1"/>
    <x v="0"/>
    <x v="1"/>
    <x v="2"/>
    <n v="0"/>
  </r>
  <r>
    <s v="EMP1096"/>
    <n v="30"/>
    <n v="627828"/>
    <n v="4"/>
    <x v="1"/>
    <x v="0"/>
    <x v="2"/>
    <x v="8"/>
    <x v="1"/>
    <x v="1"/>
    <x v="0"/>
    <x v="2"/>
    <n v="0"/>
  </r>
  <r>
    <s v="EMP1097"/>
    <n v="49"/>
    <n v="1606972"/>
    <n v="12"/>
    <x v="1"/>
    <x v="0"/>
    <x v="5"/>
    <x v="9"/>
    <x v="0"/>
    <x v="3"/>
    <x v="2"/>
    <x v="3"/>
    <n v="0"/>
  </r>
  <r>
    <s v="EMP1098"/>
    <n v="21"/>
    <n v="346570"/>
    <n v="0"/>
    <x v="0"/>
    <x v="0"/>
    <x v="6"/>
    <x v="7"/>
    <x v="0"/>
    <x v="0"/>
    <x v="3"/>
    <x v="0"/>
    <n v="1"/>
  </r>
  <r>
    <s v="EMP1099"/>
    <n v="29"/>
    <n v="921970"/>
    <n v="4"/>
    <x v="1"/>
    <x v="0"/>
    <x v="0"/>
    <x v="8"/>
    <x v="1"/>
    <x v="2"/>
    <x v="0"/>
    <x v="2"/>
    <n v="0"/>
  </r>
  <r>
    <s v="EMP1100"/>
    <n v="32"/>
    <n v="1336543"/>
    <n v="4"/>
    <x v="1"/>
    <x v="2"/>
    <x v="1"/>
    <x v="2"/>
    <x v="1"/>
    <x v="1"/>
    <x v="1"/>
    <x v="2"/>
    <n v="0"/>
  </r>
  <r>
    <s v="EMP1101"/>
    <n v="33"/>
    <n v="1025849"/>
    <n v="7"/>
    <x v="0"/>
    <x v="1"/>
    <x v="7"/>
    <x v="0"/>
    <x v="1"/>
    <x v="1"/>
    <x v="1"/>
    <x v="1"/>
    <n v="1"/>
  </r>
  <r>
    <s v="EMP1102"/>
    <n v="25"/>
    <n v="792399"/>
    <n v="3"/>
    <x v="1"/>
    <x v="1"/>
    <x v="7"/>
    <x v="3"/>
    <x v="0"/>
    <x v="2"/>
    <x v="0"/>
    <x v="2"/>
    <n v="0"/>
  </r>
  <r>
    <s v="EMP1103"/>
    <n v="41"/>
    <n v="907202"/>
    <n v="5"/>
    <x v="1"/>
    <x v="0"/>
    <x v="2"/>
    <x v="1"/>
    <x v="0"/>
    <x v="3"/>
    <x v="0"/>
    <x v="2"/>
    <n v="0"/>
  </r>
  <r>
    <s v="EMP1104"/>
    <n v="21"/>
    <n v="560922"/>
    <n v="0"/>
    <x v="1"/>
    <x v="1"/>
    <x v="6"/>
    <x v="0"/>
    <x v="1"/>
    <x v="0"/>
    <x v="0"/>
    <x v="0"/>
    <n v="0"/>
  </r>
  <r>
    <s v="EMP1105"/>
    <n v="47"/>
    <n v="1104039"/>
    <n v="16"/>
    <x v="0"/>
    <x v="0"/>
    <x v="2"/>
    <x v="5"/>
    <x v="0"/>
    <x v="3"/>
    <x v="1"/>
    <x v="3"/>
    <n v="1"/>
  </r>
  <r>
    <s v="EMP1106"/>
    <n v="32"/>
    <n v="1044446"/>
    <n v="6"/>
    <x v="1"/>
    <x v="0"/>
    <x v="2"/>
    <x v="4"/>
    <x v="1"/>
    <x v="1"/>
    <x v="1"/>
    <x v="1"/>
    <n v="0"/>
  </r>
  <r>
    <s v="EMP1107"/>
    <n v="43"/>
    <n v="2158270"/>
    <n v="16"/>
    <x v="1"/>
    <x v="0"/>
    <x v="1"/>
    <x v="4"/>
    <x v="0"/>
    <x v="3"/>
    <x v="2"/>
    <x v="3"/>
    <n v="0"/>
  </r>
  <r>
    <s v="EMP1108"/>
    <n v="37"/>
    <n v="1104683"/>
    <n v="10"/>
    <x v="1"/>
    <x v="0"/>
    <x v="0"/>
    <x v="5"/>
    <x v="0"/>
    <x v="1"/>
    <x v="1"/>
    <x v="1"/>
    <n v="0"/>
  </r>
  <r>
    <s v="EMP1109"/>
    <n v="41"/>
    <n v="1117318"/>
    <n v="8"/>
    <x v="1"/>
    <x v="1"/>
    <x v="2"/>
    <x v="5"/>
    <x v="0"/>
    <x v="3"/>
    <x v="1"/>
    <x v="1"/>
    <n v="0"/>
  </r>
  <r>
    <s v="EMP1110"/>
    <n v="29"/>
    <n v="1070980"/>
    <n v="2"/>
    <x v="1"/>
    <x v="0"/>
    <x v="1"/>
    <x v="8"/>
    <x v="0"/>
    <x v="2"/>
    <x v="1"/>
    <x v="0"/>
    <n v="0"/>
  </r>
  <r>
    <s v="EMP1111"/>
    <n v="33"/>
    <n v="1054784"/>
    <n v="5"/>
    <x v="1"/>
    <x v="1"/>
    <x v="1"/>
    <x v="0"/>
    <x v="0"/>
    <x v="1"/>
    <x v="1"/>
    <x v="2"/>
    <n v="0"/>
  </r>
  <r>
    <s v="EMP1112"/>
    <n v="29"/>
    <n v="1036679"/>
    <n v="6"/>
    <x v="1"/>
    <x v="1"/>
    <x v="7"/>
    <x v="0"/>
    <x v="1"/>
    <x v="2"/>
    <x v="1"/>
    <x v="1"/>
    <n v="0"/>
  </r>
  <r>
    <s v="EMP1113"/>
    <n v="22"/>
    <n v="1626002"/>
    <n v="0"/>
    <x v="1"/>
    <x v="0"/>
    <x v="1"/>
    <x v="5"/>
    <x v="1"/>
    <x v="0"/>
    <x v="2"/>
    <x v="0"/>
    <n v="0"/>
  </r>
  <r>
    <s v="EMP1114"/>
    <n v="36"/>
    <n v="660513"/>
    <n v="8"/>
    <x v="0"/>
    <x v="1"/>
    <x v="2"/>
    <x v="4"/>
    <x v="1"/>
    <x v="1"/>
    <x v="0"/>
    <x v="1"/>
    <n v="1"/>
  </r>
  <r>
    <s v="EMP1115"/>
    <n v="37"/>
    <n v="1195197"/>
    <n v="9"/>
    <x v="1"/>
    <x v="3"/>
    <x v="5"/>
    <x v="2"/>
    <x v="1"/>
    <x v="1"/>
    <x v="1"/>
    <x v="1"/>
    <n v="0"/>
  </r>
  <r>
    <s v="EMP1116"/>
    <n v="30"/>
    <n v="970178"/>
    <n v="5"/>
    <x v="1"/>
    <x v="4"/>
    <x v="2"/>
    <x v="5"/>
    <x v="0"/>
    <x v="1"/>
    <x v="0"/>
    <x v="2"/>
    <n v="0"/>
  </r>
  <r>
    <s v="EMP1117"/>
    <n v="24"/>
    <n v="1047131"/>
    <n v="3"/>
    <x v="1"/>
    <x v="1"/>
    <x v="4"/>
    <x v="7"/>
    <x v="0"/>
    <x v="0"/>
    <x v="1"/>
    <x v="2"/>
    <n v="0"/>
  </r>
  <r>
    <s v="EMP1118"/>
    <n v="21"/>
    <n v="580066"/>
    <n v="0"/>
    <x v="0"/>
    <x v="1"/>
    <x v="2"/>
    <x v="9"/>
    <x v="1"/>
    <x v="0"/>
    <x v="0"/>
    <x v="0"/>
    <n v="1"/>
  </r>
  <r>
    <s v="EMP1119"/>
    <n v="36"/>
    <n v="970085"/>
    <n v="8"/>
    <x v="1"/>
    <x v="0"/>
    <x v="4"/>
    <x v="4"/>
    <x v="1"/>
    <x v="1"/>
    <x v="0"/>
    <x v="1"/>
    <n v="0"/>
  </r>
  <r>
    <s v="EMP1120"/>
    <n v="27"/>
    <n v="975804"/>
    <n v="1"/>
    <x v="0"/>
    <x v="0"/>
    <x v="7"/>
    <x v="0"/>
    <x v="1"/>
    <x v="2"/>
    <x v="0"/>
    <x v="0"/>
    <n v="1"/>
  </r>
  <r>
    <s v="EMP1121"/>
    <n v="24"/>
    <n v="325968"/>
    <n v="0"/>
    <x v="0"/>
    <x v="0"/>
    <x v="2"/>
    <x v="2"/>
    <x v="0"/>
    <x v="0"/>
    <x v="3"/>
    <x v="0"/>
    <n v="1"/>
  </r>
  <r>
    <s v="EMP1122"/>
    <n v="23"/>
    <n v="1315741"/>
    <n v="2"/>
    <x v="0"/>
    <x v="0"/>
    <x v="3"/>
    <x v="4"/>
    <x v="1"/>
    <x v="0"/>
    <x v="1"/>
    <x v="0"/>
    <n v="1"/>
  </r>
  <r>
    <s v="EMP1123"/>
    <n v="40"/>
    <n v="1528421"/>
    <n v="15"/>
    <x v="1"/>
    <x v="2"/>
    <x v="1"/>
    <x v="4"/>
    <x v="1"/>
    <x v="3"/>
    <x v="2"/>
    <x v="3"/>
    <n v="0"/>
  </r>
  <r>
    <s v="EMP1124"/>
    <n v="27"/>
    <n v="893632"/>
    <n v="6"/>
    <x v="1"/>
    <x v="1"/>
    <x v="4"/>
    <x v="5"/>
    <x v="0"/>
    <x v="2"/>
    <x v="0"/>
    <x v="1"/>
    <n v="0"/>
  </r>
  <r>
    <s v="EMP1125"/>
    <n v="48"/>
    <n v="1844871"/>
    <n v="17"/>
    <x v="1"/>
    <x v="2"/>
    <x v="1"/>
    <x v="2"/>
    <x v="0"/>
    <x v="3"/>
    <x v="2"/>
    <x v="3"/>
    <n v="0"/>
  </r>
  <r>
    <s v="EMP1126"/>
    <n v="36"/>
    <n v="1405101"/>
    <n v="9"/>
    <x v="1"/>
    <x v="2"/>
    <x v="1"/>
    <x v="9"/>
    <x v="1"/>
    <x v="1"/>
    <x v="1"/>
    <x v="1"/>
    <n v="0"/>
  </r>
  <r>
    <s v="EMP1127"/>
    <n v="38"/>
    <n v="1785028"/>
    <n v="6"/>
    <x v="1"/>
    <x v="2"/>
    <x v="1"/>
    <x v="3"/>
    <x v="0"/>
    <x v="1"/>
    <x v="2"/>
    <x v="1"/>
    <n v="0"/>
  </r>
  <r>
    <s v="EMP1128"/>
    <n v="24"/>
    <n v="612221"/>
    <n v="3"/>
    <x v="1"/>
    <x v="0"/>
    <x v="6"/>
    <x v="9"/>
    <x v="0"/>
    <x v="0"/>
    <x v="0"/>
    <x v="2"/>
    <n v="0"/>
  </r>
  <r>
    <s v="EMP1129"/>
    <n v="33"/>
    <n v="1564005"/>
    <n v="7"/>
    <x v="1"/>
    <x v="1"/>
    <x v="1"/>
    <x v="4"/>
    <x v="0"/>
    <x v="1"/>
    <x v="2"/>
    <x v="1"/>
    <n v="0"/>
  </r>
  <r>
    <s v="EMP1130"/>
    <n v="37"/>
    <n v="1498383"/>
    <n v="12"/>
    <x v="0"/>
    <x v="1"/>
    <x v="0"/>
    <x v="7"/>
    <x v="1"/>
    <x v="1"/>
    <x v="1"/>
    <x v="3"/>
    <n v="1"/>
  </r>
  <r>
    <s v="EMP1131"/>
    <n v="29"/>
    <n v="632642"/>
    <n v="1"/>
    <x v="0"/>
    <x v="0"/>
    <x v="4"/>
    <x v="0"/>
    <x v="1"/>
    <x v="2"/>
    <x v="0"/>
    <x v="0"/>
    <n v="1"/>
  </r>
  <r>
    <s v="EMP1132"/>
    <n v="34"/>
    <n v="1771679"/>
    <n v="7"/>
    <x v="1"/>
    <x v="0"/>
    <x v="1"/>
    <x v="6"/>
    <x v="0"/>
    <x v="1"/>
    <x v="2"/>
    <x v="1"/>
    <n v="0"/>
  </r>
  <r>
    <s v="EMP1133"/>
    <n v="33"/>
    <n v="1396308"/>
    <n v="5"/>
    <x v="0"/>
    <x v="1"/>
    <x v="1"/>
    <x v="0"/>
    <x v="1"/>
    <x v="1"/>
    <x v="1"/>
    <x v="2"/>
    <n v="1"/>
  </r>
  <r>
    <s v="EMP1134"/>
    <n v="21"/>
    <n v="617468"/>
    <n v="0"/>
    <x v="1"/>
    <x v="2"/>
    <x v="2"/>
    <x v="8"/>
    <x v="1"/>
    <x v="0"/>
    <x v="0"/>
    <x v="0"/>
    <n v="0"/>
  </r>
  <r>
    <s v="EMP1135"/>
    <n v="28"/>
    <n v="593039"/>
    <n v="4"/>
    <x v="0"/>
    <x v="4"/>
    <x v="6"/>
    <x v="6"/>
    <x v="0"/>
    <x v="2"/>
    <x v="0"/>
    <x v="2"/>
    <n v="1"/>
  </r>
  <r>
    <s v="EMP1136"/>
    <n v="28"/>
    <n v="859082"/>
    <n v="7"/>
    <x v="1"/>
    <x v="0"/>
    <x v="4"/>
    <x v="6"/>
    <x v="0"/>
    <x v="2"/>
    <x v="0"/>
    <x v="1"/>
    <n v="0"/>
  </r>
  <r>
    <s v="EMP1137"/>
    <n v="23"/>
    <n v="750966"/>
    <n v="0"/>
    <x v="1"/>
    <x v="0"/>
    <x v="4"/>
    <x v="8"/>
    <x v="0"/>
    <x v="0"/>
    <x v="0"/>
    <x v="0"/>
    <n v="0"/>
  </r>
  <r>
    <s v="EMP1138"/>
    <n v="41"/>
    <n v="1509074"/>
    <n v="12"/>
    <x v="1"/>
    <x v="0"/>
    <x v="7"/>
    <x v="6"/>
    <x v="0"/>
    <x v="3"/>
    <x v="2"/>
    <x v="3"/>
    <n v="0"/>
  </r>
  <r>
    <s v="EMP1139"/>
    <n v="38"/>
    <n v="866678"/>
    <n v="8"/>
    <x v="1"/>
    <x v="0"/>
    <x v="2"/>
    <x v="2"/>
    <x v="1"/>
    <x v="1"/>
    <x v="0"/>
    <x v="1"/>
    <n v="0"/>
  </r>
  <r>
    <s v="EMP1140"/>
    <n v="30"/>
    <n v="766107"/>
    <n v="5"/>
    <x v="1"/>
    <x v="1"/>
    <x v="4"/>
    <x v="8"/>
    <x v="0"/>
    <x v="1"/>
    <x v="0"/>
    <x v="2"/>
    <n v="0"/>
  </r>
  <r>
    <s v="EMP1141"/>
    <n v="40"/>
    <n v="1641248"/>
    <n v="11"/>
    <x v="1"/>
    <x v="0"/>
    <x v="1"/>
    <x v="3"/>
    <x v="0"/>
    <x v="3"/>
    <x v="2"/>
    <x v="3"/>
    <n v="0"/>
  </r>
  <r>
    <s v="EMP1142"/>
    <n v="26"/>
    <n v="673705"/>
    <n v="3"/>
    <x v="1"/>
    <x v="0"/>
    <x v="2"/>
    <x v="0"/>
    <x v="0"/>
    <x v="2"/>
    <x v="0"/>
    <x v="2"/>
    <n v="0"/>
  </r>
  <r>
    <s v="EMP1143"/>
    <n v="30"/>
    <n v="1364616"/>
    <n v="2"/>
    <x v="1"/>
    <x v="1"/>
    <x v="1"/>
    <x v="5"/>
    <x v="0"/>
    <x v="1"/>
    <x v="1"/>
    <x v="0"/>
    <n v="0"/>
  </r>
  <r>
    <s v="EMP1144"/>
    <n v="24"/>
    <n v="738205"/>
    <n v="0"/>
    <x v="1"/>
    <x v="2"/>
    <x v="2"/>
    <x v="9"/>
    <x v="0"/>
    <x v="0"/>
    <x v="0"/>
    <x v="0"/>
    <n v="0"/>
  </r>
  <r>
    <s v="EMP1145"/>
    <n v="35"/>
    <n v="1348131"/>
    <n v="13"/>
    <x v="0"/>
    <x v="0"/>
    <x v="5"/>
    <x v="3"/>
    <x v="1"/>
    <x v="1"/>
    <x v="1"/>
    <x v="3"/>
    <n v="1"/>
  </r>
  <r>
    <s v="EMP1146"/>
    <n v="32"/>
    <n v="1079700"/>
    <n v="3"/>
    <x v="1"/>
    <x v="1"/>
    <x v="1"/>
    <x v="4"/>
    <x v="0"/>
    <x v="1"/>
    <x v="1"/>
    <x v="2"/>
    <n v="0"/>
  </r>
  <r>
    <s v="EMP1147"/>
    <n v="33"/>
    <n v="893078"/>
    <n v="4"/>
    <x v="1"/>
    <x v="1"/>
    <x v="4"/>
    <x v="5"/>
    <x v="0"/>
    <x v="1"/>
    <x v="0"/>
    <x v="2"/>
    <n v="0"/>
  </r>
  <r>
    <s v="EMP1148"/>
    <n v="34"/>
    <n v="1251828"/>
    <n v="10"/>
    <x v="1"/>
    <x v="0"/>
    <x v="0"/>
    <x v="2"/>
    <x v="1"/>
    <x v="1"/>
    <x v="1"/>
    <x v="1"/>
    <n v="0"/>
  </r>
  <r>
    <s v="EMP1149"/>
    <n v="34"/>
    <n v="1367158"/>
    <n v="13"/>
    <x v="1"/>
    <x v="1"/>
    <x v="4"/>
    <x v="6"/>
    <x v="0"/>
    <x v="1"/>
    <x v="1"/>
    <x v="3"/>
    <n v="0"/>
  </r>
  <r>
    <s v="EMP1150"/>
    <n v="28"/>
    <n v="804269"/>
    <n v="7"/>
    <x v="1"/>
    <x v="3"/>
    <x v="2"/>
    <x v="5"/>
    <x v="0"/>
    <x v="2"/>
    <x v="0"/>
    <x v="1"/>
    <n v="0"/>
  </r>
  <r>
    <s v="EMP1151"/>
    <n v="28"/>
    <n v="928194"/>
    <n v="4"/>
    <x v="1"/>
    <x v="1"/>
    <x v="5"/>
    <x v="1"/>
    <x v="0"/>
    <x v="2"/>
    <x v="0"/>
    <x v="2"/>
    <n v="0"/>
  </r>
  <r>
    <s v="EMP1152"/>
    <n v="31"/>
    <n v="1448206"/>
    <n v="1"/>
    <x v="1"/>
    <x v="1"/>
    <x v="3"/>
    <x v="3"/>
    <x v="0"/>
    <x v="1"/>
    <x v="1"/>
    <x v="0"/>
    <n v="0"/>
  </r>
  <r>
    <s v="EMP1153"/>
    <n v="31"/>
    <n v="683034"/>
    <n v="10"/>
    <x v="1"/>
    <x v="0"/>
    <x v="6"/>
    <x v="1"/>
    <x v="0"/>
    <x v="1"/>
    <x v="0"/>
    <x v="1"/>
    <n v="0"/>
  </r>
  <r>
    <s v="EMP1154"/>
    <n v="27"/>
    <n v="944208"/>
    <n v="6"/>
    <x v="1"/>
    <x v="0"/>
    <x v="4"/>
    <x v="6"/>
    <x v="0"/>
    <x v="2"/>
    <x v="0"/>
    <x v="1"/>
    <n v="0"/>
  </r>
  <r>
    <s v="EMP1155"/>
    <n v="34"/>
    <n v="1155894"/>
    <n v="6"/>
    <x v="1"/>
    <x v="0"/>
    <x v="1"/>
    <x v="9"/>
    <x v="0"/>
    <x v="1"/>
    <x v="1"/>
    <x v="1"/>
    <n v="0"/>
  </r>
  <r>
    <s v="EMP1156"/>
    <n v="39"/>
    <n v="1794229"/>
    <n v="8"/>
    <x v="1"/>
    <x v="0"/>
    <x v="3"/>
    <x v="6"/>
    <x v="1"/>
    <x v="1"/>
    <x v="2"/>
    <x v="1"/>
    <n v="0"/>
  </r>
  <r>
    <s v="EMP1157"/>
    <n v="21"/>
    <n v="653435"/>
    <n v="0"/>
    <x v="1"/>
    <x v="1"/>
    <x v="5"/>
    <x v="9"/>
    <x v="1"/>
    <x v="0"/>
    <x v="0"/>
    <x v="0"/>
    <n v="0"/>
  </r>
  <r>
    <s v="EMP1158"/>
    <n v="33"/>
    <n v="1371519"/>
    <n v="11"/>
    <x v="1"/>
    <x v="4"/>
    <x v="0"/>
    <x v="1"/>
    <x v="0"/>
    <x v="1"/>
    <x v="1"/>
    <x v="3"/>
    <n v="0"/>
  </r>
  <r>
    <s v="EMP1159"/>
    <n v="40"/>
    <n v="1042702"/>
    <n v="10"/>
    <x v="1"/>
    <x v="2"/>
    <x v="4"/>
    <x v="5"/>
    <x v="1"/>
    <x v="3"/>
    <x v="1"/>
    <x v="1"/>
    <n v="0"/>
  </r>
  <r>
    <s v="EMP1160"/>
    <n v="34"/>
    <n v="1251675"/>
    <n v="9"/>
    <x v="1"/>
    <x v="0"/>
    <x v="5"/>
    <x v="4"/>
    <x v="0"/>
    <x v="1"/>
    <x v="1"/>
    <x v="1"/>
    <n v="0"/>
  </r>
  <r>
    <s v="EMP1161"/>
    <n v="27"/>
    <n v="747540"/>
    <n v="3"/>
    <x v="1"/>
    <x v="1"/>
    <x v="0"/>
    <x v="0"/>
    <x v="0"/>
    <x v="2"/>
    <x v="0"/>
    <x v="2"/>
    <n v="0"/>
  </r>
  <r>
    <s v="EMP1162"/>
    <n v="35"/>
    <n v="1372436"/>
    <n v="13"/>
    <x v="1"/>
    <x v="0"/>
    <x v="0"/>
    <x v="3"/>
    <x v="0"/>
    <x v="1"/>
    <x v="1"/>
    <x v="3"/>
    <n v="0"/>
  </r>
  <r>
    <s v="EMP1163"/>
    <n v="33"/>
    <n v="1237249"/>
    <n v="4"/>
    <x v="1"/>
    <x v="1"/>
    <x v="7"/>
    <x v="3"/>
    <x v="0"/>
    <x v="1"/>
    <x v="1"/>
    <x v="2"/>
    <n v="0"/>
  </r>
  <r>
    <s v="EMP1164"/>
    <n v="25"/>
    <n v="769814"/>
    <n v="4"/>
    <x v="1"/>
    <x v="4"/>
    <x v="6"/>
    <x v="7"/>
    <x v="1"/>
    <x v="2"/>
    <x v="0"/>
    <x v="2"/>
    <n v="0"/>
  </r>
  <r>
    <s v="EMP1165"/>
    <n v="24"/>
    <n v="965553"/>
    <n v="3"/>
    <x v="1"/>
    <x v="0"/>
    <x v="1"/>
    <x v="7"/>
    <x v="1"/>
    <x v="0"/>
    <x v="0"/>
    <x v="2"/>
    <n v="0"/>
  </r>
  <r>
    <s v="EMP1166"/>
    <n v="34"/>
    <n v="924588"/>
    <n v="6"/>
    <x v="1"/>
    <x v="0"/>
    <x v="6"/>
    <x v="3"/>
    <x v="0"/>
    <x v="1"/>
    <x v="0"/>
    <x v="1"/>
    <n v="0"/>
  </r>
  <r>
    <s v="EMP1167"/>
    <n v="21"/>
    <n v="1277431"/>
    <n v="0"/>
    <x v="1"/>
    <x v="0"/>
    <x v="1"/>
    <x v="5"/>
    <x v="1"/>
    <x v="0"/>
    <x v="1"/>
    <x v="0"/>
    <n v="0"/>
  </r>
  <r>
    <s v="EMP1168"/>
    <n v="36"/>
    <n v="1108902"/>
    <n v="7"/>
    <x v="1"/>
    <x v="0"/>
    <x v="2"/>
    <x v="1"/>
    <x v="0"/>
    <x v="1"/>
    <x v="1"/>
    <x v="1"/>
    <n v="0"/>
  </r>
  <r>
    <s v="EMP1169"/>
    <n v="21"/>
    <n v="715272"/>
    <n v="0"/>
    <x v="1"/>
    <x v="0"/>
    <x v="7"/>
    <x v="7"/>
    <x v="0"/>
    <x v="0"/>
    <x v="0"/>
    <x v="0"/>
    <n v="0"/>
  </r>
  <r>
    <s v="EMP1170"/>
    <n v="27"/>
    <n v="1763265"/>
    <n v="6"/>
    <x v="1"/>
    <x v="4"/>
    <x v="1"/>
    <x v="2"/>
    <x v="0"/>
    <x v="2"/>
    <x v="2"/>
    <x v="1"/>
    <n v="0"/>
  </r>
  <r>
    <s v="EMP1171"/>
    <n v="42"/>
    <n v="1513697"/>
    <n v="6"/>
    <x v="1"/>
    <x v="0"/>
    <x v="1"/>
    <x v="7"/>
    <x v="0"/>
    <x v="3"/>
    <x v="2"/>
    <x v="1"/>
    <n v="0"/>
  </r>
  <r>
    <s v="EMP1172"/>
    <n v="36"/>
    <n v="925307"/>
    <n v="10"/>
    <x v="1"/>
    <x v="2"/>
    <x v="2"/>
    <x v="8"/>
    <x v="0"/>
    <x v="1"/>
    <x v="0"/>
    <x v="1"/>
    <n v="0"/>
  </r>
  <r>
    <s v="EMP1173"/>
    <n v="31"/>
    <n v="969881"/>
    <n v="2"/>
    <x v="1"/>
    <x v="0"/>
    <x v="2"/>
    <x v="2"/>
    <x v="0"/>
    <x v="1"/>
    <x v="0"/>
    <x v="0"/>
    <n v="0"/>
  </r>
  <r>
    <s v="EMP1174"/>
    <n v="27"/>
    <n v="784669"/>
    <n v="0"/>
    <x v="1"/>
    <x v="2"/>
    <x v="7"/>
    <x v="5"/>
    <x v="1"/>
    <x v="2"/>
    <x v="0"/>
    <x v="0"/>
    <n v="0"/>
  </r>
  <r>
    <s v="EMP1175"/>
    <n v="44"/>
    <n v="1580767"/>
    <n v="13"/>
    <x v="0"/>
    <x v="0"/>
    <x v="0"/>
    <x v="7"/>
    <x v="0"/>
    <x v="3"/>
    <x v="2"/>
    <x v="3"/>
    <n v="1"/>
  </r>
  <r>
    <s v="EMP1176"/>
    <n v="31"/>
    <n v="900896"/>
    <n v="5"/>
    <x v="1"/>
    <x v="0"/>
    <x v="6"/>
    <x v="1"/>
    <x v="1"/>
    <x v="1"/>
    <x v="0"/>
    <x v="2"/>
    <n v="0"/>
  </r>
  <r>
    <s v="EMP1177"/>
    <n v="40"/>
    <n v="997244"/>
    <n v="9"/>
    <x v="1"/>
    <x v="0"/>
    <x v="6"/>
    <x v="6"/>
    <x v="1"/>
    <x v="3"/>
    <x v="0"/>
    <x v="1"/>
    <n v="0"/>
  </r>
  <r>
    <s v="EMP1178"/>
    <n v="27"/>
    <n v="1252609"/>
    <n v="1"/>
    <x v="0"/>
    <x v="0"/>
    <x v="1"/>
    <x v="3"/>
    <x v="0"/>
    <x v="2"/>
    <x v="1"/>
    <x v="0"/>
    <n v="1"/>
  </r>
  <r>
    <s v="EMP1179"/>
    <n v="29"/>
    <n v="1375212"/>
    <n v="5"/>
    <x v="1"/>
    <x v="0"/>
    <x v="0"/>
    <x v="3"/>
    <x v="1"/>
    <x v="2"/>
    <x v="1"/>
    <x v="2"/>
    <n v="0"/>
  </r>
  <r>
    <s v="EMP1180"/>
    <n v="43"/>
    <n v="1902173"/>
    <n v="11"/>
    <x v="1"/>
    <x v="0"/>
    <x v="3"/>
    <x v="7"/>
    <x v="0"/>
    <x v="3"/>
    <x v="2"/>
    <x v="3"/>
    <n v="0"/>
  </r>
  <r>
    <s v="EMP1181"/>
    <n v="38"/>
    <n v="1742241"/>
    <n v="12"/>
    <x v="1"/>
    <x v="0"/>
    <x v="3"/>
    <x v="6"/>
    <x v="0"/>
    <x v="1"/>
    <x v="2"/>
    <x v="3"/>
    <n v="0"/>
  </r>
  <r>
    <s v="EMP1182"/>
    <n v="28"/>
    <n v="498671"/>
    <n v="2"/>
    <x v="1"/>
    <x v="2"/>
    <x v="2"/>
    <x v="1"/>
    <x v="0"/>
    <x v="2"/>
    <x v="3"/>
    <x v="0"/>
    <n v="0"/>
  </r>
  <r>
    <s v="EMP1183"/>
    <n v="27"/>
    <n v="1819136"/>
    <n v="5"/>
    <x v="1"/>
    <x v="0"/>
    <x v="1"/>
    <x v="6"/>
    <x v="0"/>
    <x v="2"/>
    <x v="2"/>
    <x v="2"/>
    <n v="0"/>
  </r>
  <r>
    <s v="EMP1184"/>
    <n v="46"/>
    <n v="1960211"/>
    <n v="18"/>
    <x v="1"/>
    <x v="0"/>
    <x v="1"/>
    <x v="4"/>
    <x v="1"/>
    <x v="3"/>
    <x v="2"/>
    <x v="3"/>
    <n v="0"/>
  </r>
  <r>
    <s v="EMP1185"/>
    <n v="25"/>
    <n v="1775011"/>
    <n v="4"/>
    <x v="1"/>
    <x v="0"/>
    <x v="1"/>
    <x v="6"/>
    <x v="0"/>
    <x v="2"/>
    <x v="2"/>
    <x v="2"/>
    <n v="0"/>
  </r>
  <r>
    <s v="EMP1186"/>
    <n v="29"/>
    <n v="1391523"/>
    <n v="1"/>
    <x v="1"/>
    <x v="0"/>
    <x v="3"/>
    <x v="9"/>
    <x v="1"/>
    <x v="2"/>
    <x v="1"/>
    <x v="0"/>
    <n v="0"/>
  </r>
  <r>
    <s v="EMP1187"/>
    <n v="26"/>
    <n v="1055336"/>
    <n v="3"/>
    <x v="0"/>
    <x v="0"/>
    <x v="4"/>
    <x v="3"/>
    <x v="0"/>
    <x v="2"/>
    <x v="1"/>
    <x v="2"/>
    <n v="1"/>
  </r>
  <r>
    <s v="EMP1188"/>
    <n v="36"/>
    <n v="705189"/>
    <n v="5"/>
    <x v="1"/>
    <x v="0"/>
    <x v="0"/>
    <x v="2"/>
    <x v="0"/>
    <x v="1"/>
    <x v="0"/>
    <x v="2"/>
    <n v="0"/>
  </r>
  <r>
    <s v="EMP1189"/>
    <n v="47"/>
    <n v="2125117"/>
    <n v="10"/>
    <x v="1"/>
    <x v="1"/>
    <x v="1"/>
    <x v="9"/>
    <x v="0"/>
    <x v="3"/>
    <x v="2"/>
    <x v="1"/>
    <n v="0"/>
  </r>
  <r>
    <s v="EMP1190"/>
    <n v="31"/>
    <n v="1224099"/>
    <n v="5"/>
    <x v="1"/>
    <x v="1"/>
    <x v="7"/>
    <x v="4"/>
    <x v="1"/>
    <x v="1"/>
    <x v="1"/>
    <x v="2"/>
    <n v="0"/>
  </r>
  <r>
    <s v="EMP1191"/>
    <n v="28"/>
    <n v="741708"/>
    <n v="3"/>
    <x v="1"/>
    <x v="3"/>
    <x v="7"/>
    <x v="7"/>
    <x v="1"/>
    <x v="2"/>
    <x v="0"/>
    <x v="2"/>
    <n v="0"/>
  </r>
  <r>
    <s v="EMP1192"/>
    <n v="41"/>
    <n v="1736098"/>
    <n v="10"/>
    <x v="1"/>
    <x v="2"/>
    <x v="1"/>
    <x v="0"/>
    <x v="1"/>
    <x v="3"/>
    <x v="2"/>
    <x v="1"/>
    <n v="0"/>
  </r>
  <r>
    <s v="EMP1193"/>
    <n v="29"/>
    <n v="932698"/>
    <n v="1"/>
    <x v="1"/>
    <x v="0"/>
    <x v="5"/>
    <x v="5"/>
    <x v="0"/>
    <x v="2"/>
    <x v="0"/>
    <x v="0"/>
    <n v="0"/>
  </r>
  <r>
    <s v="EMP1194"/>
    <n v="32"/>
    <n v="1234532"/>
    <n v="3"/>
    <x v="1"/>
    <x v="0"/>
    <x v="1"/>
    <x v="2"/>
    <x v="0"/>
    <x v="1"/>
    <x v="1"/>
    <x v="2"/>
    <n v="0"/>
  </r>
  <r>
    <s v="EMP1195"/>
    <n v="27"/>
    <n v="1034271"/>
    <n v="3"/>
    <x v="1"/>
    <x v="2"/>
    <x v="3"/>
    <x v="0"/>
    <x v="0"/>
    <x v="2"/>
    <x v="1"/>
    <x v="2"/>
    <n v="0"/>
  </r>
  <r>
    <s v="EMP1196"/>
    <n v="29"/>
    <n v="1000337"/>
    <n v="3"/>
    <x v="1"/>
    <x v="1"/>
    <x v="1"/>
    <x v="3"/>
    <x v="0"/>
    <x v="2"/>
    <x v="1"/>
    <x v="2"/>
    <n v="0"/>
  </r>
  <r>
    <s v="EMP1197"/>
    <n v="35"/>
    <n v="1526434"/>
    <n v="14"/>
    <x v="1"/>
    <x v="2"/>
    <x v="7"/>
    <x v="5"/>
    <x v="0"/>
    <x v="1"/>
    <x v="2"/>
    <x v="3"/>
    <n v="0"/>
  </r>
  <r>
    <s v="EMP1198"/>
    <n v="38"/>
    <n v="1068323"/>
    <n v="10"/>
    <x v="1"/>
    <x v="0"/>
    <x v="4"/>
    <x v="4"/>
    <x v="0"/>
    <x v="1"/>
    <x v="1"/>
    <x v="1"/>
    <n v="0"/>
  </r>
  <r>
    <s v="EMP1199"/>
    <n v="38"/>
    <n v="1050530"/>
    <n v="6"/>
    <x v="1"/>
    <x v="0"/>
    <x v="0"/>
    <x v="4"/>
    <x v="0"/>
    <x v="1"/>
    <x v="1"/>
    <x v="1"/>
    <n v="0"/>
  </r>
  <r>
    <s v="EMP1200"/>
    <n v="31"/>
    <n v="941005"/>
    <n v="5"/>
    <x v="1"/>
    <x v="1"/>
    <x v="0"/>
    <x v="6"/>
    <x v="1"/>
    <x v="1"/>
    <x v="0"/>
    <x v="2"/>
    <n v="0"/>
  </r>
  <r>
    <s v="EMP1201"/>
    <n v="25"/>
    <n v="927809"/>
    <n v="0"/>
    <x v="0"/>
    <x v="0"/>
    <x v="4"/>
    <x v="6"/>
    <x v="0"/>
    <x v="2"/>
    <x v="0"/>
    <x v="0"/>
    <n v="1"/>
  </r>
  <r>
    <s v="EMP1202"/>
    <n v="24"/>
    <n v="1292985"/>
    <n v="3"/>
    <x v="1"/>
    <x v="0"/>
    <x v="1"/>
    <x v="2"/>
    <x v="1"/>
    <x v="0"/>
    <x v="1"/>
    <x v="2"/>
    <n v="0"/>
  </r>
  <r>
    <s v="EMP1203"/>
    <n v="23"/>
    <n v="644391"/>
    <n v="1"/>
    <x v="1"/>
    <x v="2"/>
    <x v="4"/>
    <x v="4"/>
    <x v="0"/>
    <x v="0"/>
    <x v="0"/>
    <x v="0"/>
    <n v="0"/>
  </r>
  <r>
    <s v="EMP1204"/>
    <n v="32"/>
    <n v="602554"/>
    <n v="2"/>
    <x v="0"/>
    <x v="0"/>
    <x v="2"/>
    <x v="6"/>
    <x v="0"/>
    <x v="1"/>
    <x v="0"/>
    <x v="0"/>
    <n v="1"/>
  </r>
  <r>
    <s v="EMP1205"/>
    <n v="33"/>
    <n v="1109641"/>
    <n v="4"/>
    <x v="1"/>
    <x v="0"/>
    <x v="4"/>
    <x v="7"/>
    <x v="0"/>
    <x v="1"/>
    <x v="1"/>
    <x v="2"/>
    <n v="0"/>
  </r>
  <r>
    <s v="EMP1206"/>
    <n v="41"/>
    <n v="1650060"/>
    <n v="14"/>
    <x v="1"/>
    <x v="2"/>
    <x v="1"/>
    <x v="4"/>
    <x v="0"/>
    <x v="3"/>
    <x v="2"/>
    <x v="3"/>
    <n v="0"/>
  </r>
  <r>
    <s v="EMP1207"/>
    <n v="42"/>
    <n v="1268163"/>
    <n v="16"/>
    <x v="1"/>
    <x v="0"/>
    <x v="4"/>
    <x v="3"/>
    <x v="1"/>
    <x v="3"/>
    <x v="1"/>
    <x v="3"/>
    <n v="0"/>
  </r>
  <r>
    <s v="EMP1208"/>
    <n v="34"/>
    <n v="773027"/>
    <n v="4"/>
    <x v="1"/>
    <x v="1"/>
    <x v="7"/>
    <x v="9"/>
    <x v="0"/>
    <x v="1"/>
    <x v="0"/>
    <x v="2"/>
    <n v="0"/>
  </r>
  <r>
    <s v="EMP1209"/>
    <n v="33"/>
    <n v="1197371"/>
    <n v="6"/>
    <x v="1"/>
    <x v="1"/>
    <x v="1"/>
    <x v="0"/>
    <x v="0"/>
    <x v="1"/>
    <x v="1"/>
    <x v="1"/>
    <n v="0"/>
  </r>
  <r>
    <s v="EMP1210"/>
    <n v="33"/>
    <n v="994661"/>
    <n v="5"/>
    <x v="1"/>
    <x v="1"/>
    <x v="6"/>
    <x v="7"/>
    <x v="0"/>
    <x v="1"/>
    <x v="0"/>
    <x v="2"/>
    <n v="0"/>
  </r>
  <r>
    <s v="EMP1211"/>
    <n v="34"/>
    <n v="1481506"/>
    <n v="7"/>
    <x v="1"/>
    <x v="1"/>
    <x v="3"/>
    <x v="3"/>
    <x v="0"/>
    <x v="1"/>
    <x v="1"/>
    <x v="1"/>
    <n v="0"/>
  </r>
  <r>
    <s v="EMP1212"/>
    <n v="31"/>
    <n v="1026914"/>
    <n v="9"/>
    <x v="1"/>
    <x v="0"/>
    <x v="4"/>
    <x v="4"/>
    <x v="0"/>
    <x v="1"/>
    <x v="1"/>
    <x v="1"/>
    <n v="0"/>
  </r>
  <r>
    <s v="EMP1213"/>
    <n v="44"/>
    <n v="1073985"/>
    <n v="14"/>
    <x v="0"/>
    <x v="0"/>
    <x v="6"/>
    <x v="8"/>
    <x v="0"/>
    <x v="3"/>
    <x v="1"/>
    <x v="3"/>
    <n v="1"/>
  </r>
  <r>
    <s v="EMP1214"/>
    <n v="35"/>
    <n v="1113453"/>
    <n v="7"/>
    <x v="1"/>
    <x v="0"/>
    <x v="4"/>
    <x v="6"/>
    <x v="0"/>
    <x v="1"/>
    <x v="1"/>
    <x v="1"/>
    <n v="0"/>
  </r>
  <r>
    <s v="EMP1215"/>
    <n v="28"/>
    <n v="489512"/>
    <n v="0"/>
    <x v="0"/>
    <x v="2"/>
    <x v="4"/>
    <x v="2"/>
    <x v="1"/>
    <x v="2"/>
    <x v="3"/>
    <x v="0"/>
    <n v="1"/>
  </r>
  <r>
    <s v="EMP1216"/>
    <n v="24"/>
    <n v="694032"/>
    <n v="3"/>
    <x v="1"/>
    <x v="0"/>
    <x v="6"/>
    <x v="7"/>
    <x v="1"/>
    <x v="0"/>
    <x v="0"/>
    <x v="2"/>
    <n v="0"/>
  </r>
  <r>
    <s v="EMP1217"/>
    <n v="40"/>
    <n v="1669282"/>
    <n v="8"/>
    <x v="1"/>
    <x v="2"/>
    <x v="0"/>
    <x v="5"/>
    <x v="1"/>
    <x v="3"/>
    <x v="2"/>
    <x v="1"/>
    <n v="0"/>
  </r>
  <r>
    <s v="EMP1218"/>
    <n v="29"/>
    <n v="1681252"/>
    <n v="8"/>
    <x v="1"/>
    <x v="0"/>
    <x v="1"/>
    <x v="8"/>
    <x v="0"/>
    <x v="2"/>
    <x v="2"/>
    <x v="1"/>
    <n v="0"/>
  </r>
  <r>
    <s v="EMP1219"/>
    <n v="39"/>
    <n v="715379"/>
    <n v="7"/>
    <x v="1"/>
    <x v="2"/>
    <x v="4"/>
    <x v="1"/>
    <x v="0"/>
    <x v="1"/>
    <x v="0"/>
    <x v="1"/>
    <n v="0"/>
  </r>
  <r>
    <s v="EMP1220"/>
    <n v="37"/>
    <n v="1531542"/>
    <n v="8"/>
    <x v="1"/>
    <x v="3"/>
    <x v="1"/>
    <x v="7"/>
    <x v="0"/>
    <x v="1"/>
    <x v="2"/>
    <x v="1"/>
    <n v="0"/>
  </r>
  <r>
    <s v="EMP1221"/>
    <n v="45"/>
    <n v="1383266"/>
    <n v="9"/>
    <x v="1"/>
    <x v="0"/>
    <x v="4"/>
    <x v="2"/>
    <x v="1"/>
    <x v="3"/>
    <x v="1"/>
    <x v="1"/>
    <n v="0"/>
  </r>
  <r>
    <s v="EMP1222"/>
    <n v="29"/>
    <n v="489234"/>
    <n v="2"/>
    <x v="1"/>
    <x v="4"/>
    <x v="2"/>
    <x v="0"/>
    <x v="1"/>
    <x v="2"/>
    <x v="3"/>
    <x v="0"/>
    <n v="0"/>
  </r>
  <r>
    <s v="EMP1223"/>
    <n v="21"/>
    <n v="1267966"/>
    <n v="0"/>
    <x v="0"/>
    <x v="1"/>
    <x v="3"/>
    <x v="3"/>
    <x v="0"/>
    <x v="0"/>
    <x v="1"/>
    <x v="0"/>
    <n v="1"/>
  </r>
  <r>
    <s v="EMP1224"/>
    <n v="30"/>
    <n v="586496"/>
    <n v="1"/>
    <x v="1"/>
    <x v="1"/>
    <x v="0"/>
    <x v="2"/>
    <x v="1"/>
    <x v="1"/>
    <x v="0"/>
    <x v="0"/>
    <n v="0"/>
  </r>
  <r>
    <s v="EMP1225"/>
    <n v="38"/>
    <n v="1250577"/>
    <n v="11"/>
    <x v="1"/>
    <x v="0"/>
    <x v="0"/>
    <x v="7"/>
    <x v="0"/>
    <x v="1"/>
    <x v="1"/>
    <x v="3"/>
    <n v="0"/>
  </r>
  <r>
    <s v="EMP1226"/>
    <n v="27"/>
    <n v="571669"/>
    <n v="2"/>
    <x v="0"/>
    <x v="1"/>
    <x v="2"/>
    <x v="0"/>
    <x v="0"/>
    <x v="2"/>
    <x v="0"/>
    <x v="0"/>
    <n v="1"/>
  </r>
  <r>
    <s v="EMP1227"/>
    <n v="29"/>
    <n v="987652"/>
    <n v="8"/>
    <x v="1"/>
    <x v="2"/>
    <x v="4"/>
    <x v="7"/>
    <x v="0"/>
    <x v="2"/>
    <x v="0"/>
    <x v="1"/>
    <n v="0"/>
  </r>
  <r>
    <s v="EMP1228"/>
    <n v="31"/>
    <n v="529564"/>
    <n v="0"/>
    <x v="1"/>
    <x v="4"/>
    <x v="2"/>
    <x v="4"/>
    <x v="0"/>
    <x v="1"/>
    <x v="0"/>
    <x v="0"/>
    <n v="0"/>
  </r>
  <r>
    <s v="EMP1229"/>
    <n v="36"/>
    <n v="1089614"/>
    <n v="8"/>
    <x v="1"/>
    <x v="3"/>
    <x v="5"/>
    <x v="3"/>
    <x v="1"/>
    <x v="1"/>
    <x v="1"/>
    <x v="1"/>
    <n v="0"/>
  </r>
  <r>
    <s v="EMP1230"/>
    <n v="25"/>
    <n v="862907"/>
    <n v="3"/>
    <x v="1"/>
    <x v="0"/>
    <x v="1"/>
    <x v="6"/>
    <x v="1"/>
    <x v="2"/>
    <x v="0"/>
    <x v="2"/>
    <n v="0"/>
  </r>
  <r>
    <s v="EMP1231"/>
    <n v="29"/>
    <n v="631575"/>
    <n v="2"/>
    <x v="1"/>
    <x v="2"/>
    <x v="2"/>
    <x v="9"/>
    <x v="0"/>
    <x v="2"/>
    <x v="0"/>
    <x v="0"/>
    <n v="0"/>
  </r>
  <r>
    <s v="EMP1232"/>
    <n v="50"/>
    <n v="1799467"/>
    <n v="16"/>
    <x v="1"/>
    <x v="0"/>
    <x v="1"/>
    <x v="0"/>
    <x v="1"/>
    <x v="4"/>
    <x v="2"/>
    <x v="3"/>
    <n v="0"/>
  </r>
  <r>
    <s v="EMP1233"/>
    <n v="28"/>
    <n v="1229031"/>
    <n v="7"/>
    <x v="1"/>
    <x v="0"/>
    <x v="7"/>
    <x v="6"/>
    <x v="0"/>
    <x v="2"/>
    <x v="1"/>
    <x v="1"/>
    <n v="0"/>
  </r>
  <r>
    <s v="EMP1234"/>
    <n v="32"/>
    <n v="908072"/>
    <n v="4"/>
    <x v="1"/>
    <x v="1"/>
    <x v="0"/>
    <x v="6"/>
    <x v="0"/>
    <x v="1"/>
    <x v="0"/>
    <x v="2"/>
    <n v="0"/>
  </r>
  <r>
    <s v="EMP1235"/>
    <n v="29"/>
    <n v="869506"/>
    <n v="5"/>
    <x v="1"/>
    <x v="1"/>
    <x v="7"/>
    <x v="5"/>
    <x v="0"/>
    <x v="2"/>
    <x v="0"/>
    <x v="2"/>
    <n v="0"/>
  </r>
  <r>
    <s v="EMP1236"/>
    <n v="26"/>
    <n v="592338"/>
    <n v="3"/>
    <x v="1"/>
    <x v="1"/>
    <x v="6"/>
    <x v="0"/>
    <x v="0"/>
    <x v="2"/>
    <x v="0"/>
    <x v="2"/>
    <n v="0"/>
  </r>
  <r>
    <s v="EMP1237"/>
    <n v="21"/>
    <n v="1051933"/>
    <n v="0"/>
    <x v="1"/>
    <x v="0"/>
    <x v="4"/>
    <x v="7"/>
    <x v="0"/>
    <x v="0"/>
    <x v="1"/>
    <x v="0"/>
    <n v="0"/>
  </r>
  <r>
    <s v="EMP1238"/>
    <n v="35"/>
    <n v="878827"/>
    <n v="9"/>
    <x v="1"/>
    <x v="1"/>
    <x v="4"/>
    <x v="3"/>
    <x v="0"/>
    <x v="1"/>
    <x v="0"/>
    <x v="1"/>
    <n v="0"/>
  </r>
  <r>
    <s v="EMP1239"/>
    <n v="28"/>
    <n v="819042"/>
    <n v="2"/>
    <x v="0"/>
    <x v="0"/>
    <x v="6"/>
    <x v="6"/>
    <x v="0"/>
    <x v="2"/>
    <x v="0"/>
    <x v="0"/>
    <n v="1"/>
  </r>
  <r>
    <s v="EMP1240"/>
    <n v="23"/>
    <n v="1122099"/>
    <n v="1"/>
    <x v="1"/>
    <x v="3"/>
    <x v="3"/>
    <x v="5"/>
    <x v="1"/>
    <x v="0"/>
    <x v="1"/>
    <x v="0"/>
    <n v="0"/>
  </r>
  <r>
    <s v="EMP1241"/>
    <n v="23"/>
    <n v="761363"/>
    <n v="0"/>
    <x v="0"/>
    <x v="1"/>
    <x v="5"/>
    <x v="7"/>
    <x v="1"/>
    <x v="0"/>
    <x v="0"/>
    <x v="0"/>
    <n v="1"/>
  </r>
  <r>
    <s v="EMP1242"/>
    <n v="33"/>
    <n v="1035413"/>
    <n v="7"/>
    <x v="1"/>
    <x v="0"/>
    <x v="6"/>
    <x v="9"/>
    <x v="1"/>
    <x v="1"/>
    <x v="1"/>
    <x v="1"/>
    <n v="0"/>
  </r>
  <r>
    <s v="EMP1243"/>
    <n v="30"/>
    <n v="1293147"/>
    <n v="8"/>
    <x v="1"/>
    <x v="2"/>
    <x v="7"/>
    <x v="3"/>
    <x v="0"/>
    <x v="1"/>
    <x v="1"/>
    <x v="1"/>
    <n v="0"/>
  </r>
  <r>
    <s v="EMP1244"/>
    <n v="38"/>
    <n v="1366985"/>
    <n v="8"/>
    <x v="1"/>
    <x v="0"/>
    <x v="0"/>
    <x v="1"/>
    <x v="1"/>
    <x v="1"/>
    <x v="1"/>
    <x v="1"/>
    <n v="0"/>
  </r>
  <r>
    <s v="EMP1245"/>
    <n v="21"/>
    <n v="680415"/>
    <n v="0"/>
    <x v="1"/>
    <x v="2"/>
    <x v="6"/>
    <x v="9"/>
    <x v="1"/>
    <x v="0"/>
    <x v="0"/>
    <x v="0"/>
    <n v="0"/>
  </r>
  <r>
    <s v="EMP1246"/>
    <n v="32"/>
    <n v="1098104"/>
    <n v="4"/>
    <x v="1"/>
    <x v="0"/>
    <x v="0"/>
    <x v="7"/>
    <x v="0"/>
    <x v="1"/>
    <x v="1"/>
    <x v="2"/>
    <n v="0"/>
  </r>
  <r>
    <s v="EMP1247"/>
    <n v="41"/>
    <n v="1835081"/>
    <n v="14"/>
    <x v="1"/>
    <x v="1"/>
    <x v="1"/>
    <x v="5"/>
    <x v="0"/>
    <x v="3"/>
    <x v="2"/>
    <x v="3"/>
    <n v="0"/>
  </r>
  <r>
    <s v="EMP1248"/>
    <n v="22"/>
    <n v="594872"/>
    <n v="1"/>
    <x v="1"/>
    <x v="0"/>
    <x v="2"/>
    <x v="3"/>
    <x v="1"/>
    <x v="0"/>
    <x v="0"/>
    <x v="0"/>
    <n v="0"/>
  </r>
  <r>
    <s v="EMP1249"/>
    <n v="21"/>
    <n v="769764"/>
    <n v="0"/>
    <x v="0"/>
    <x v="2"/>
    <x v="6"/>
    <x v="7"/>
    <x v="0"/>
    <x v="0"/>
    <x v="0"/>
    <x v="0"/>
    <n v="1"/>
  </r>
  <r>
    <s v="EMP1250"/>
    <n v="31"/>
    <n v="737144"/>
    <n v="6"/>
    <x v="1"/>
    <x v="0"/>
    <x v="2"/>
    <x v="0"/>
    <x v="0"/>
    <x v="1"/>
    <x v="0"/>
    <x v="1"/>
    <n v="0"/>
  </r>
  <r>
    <s v="EMP1251"/>
    <n v="38"/>
    <n v="795556"/>
    <n v="7"/>
    <x v="0"/>
    <x v="0"/>
    <x v="2"/>
    <x v="1"/>
    <x v="1"/>
    <x v="1"/>
    <x v="0"/>
    <x v="1"/>
    <n v="1"/>
  </r>
  <r>
    <s v="EMP1252"/>
    <n v="27"/>
    <n v="677713"/>
    <n v="3"/>
    <x v="1"/>
    <x v="0"/>
    <x v="2"/>
    <x v="0"/>
    <x v="0"/>
    <x v="2"/>
    <x v="0"/>
    <x v="2"/>
    <n v="0"/>
  </r>
  <r>
    <s v="EMP1253"/>
    <n v="34"/>
    <n v="1471087"/>
    <n v="9"/>
    <x v="1"/>
    <x v="4"/>
    <x v="1"/>
    <x v="2"/>
    <x v="1"/>
    <x v="1"/>
    <x v="1"/>
    <x v="1"/>
    <n v="0"/>
  </r>
  <r>
    <s v="EMP1254"/>
    <n v="27"/>
    <n v="989569"/>
    <n v="3"/>
    <x v="0"/>
    <x v="0"/>
    <x v="5"/>
    <x v="5"/>
    <x v="1"/>
    <x v="2"/>
    <x v="0"/>
    <x v="2"/>
    <n v="1"/>
  </r>
  <r>
    <s v="EMP1255"/>
    <n v="33"/>
    <n v="893795"/>
    <n v="8"/>
    <x v="1"/>
    <x v="0"/>
    <x v="6"/>
    <x v="5"/>
    <x v="0"/>
    <x v="1"/>
    <x v="0"/>
    <x v="1"/>
    <n v="0"/>
  </r>
  <r>
    <s v="EMP1256"/>
    <n v="50"/>
    <n v="1413629"/>
    <n v="17"/>
    <x v="1"/>
    <x v="0"/>
    <x v="6"/>
    <x v="1"/>
    <x v="0"/>
    <x v="4"/>
    <x v="1"/>
    <x v="3"/>
    <n v="0"/>
  </r>
  <r>
    <s v="EMP1257"/>
    <n v="24"/>
    <n v="1564407"/>
    <n v="3"/>
    <x v="1"/>
    <x v="0"/>
    <x v="1"/>
    <x v="6"/>
    <x v="1"/>
    <x v="0"/>
    <x v="2"/>
    <x v="2"/>
    <n v="0"/>
  </r>
  <r>
    <s v="EMP1258"/>
    <n v="21"/>
    <n v="1265054"/>
    <n v="0"/>
    <x v="1"/>
    <x v="0"/>
    <x v="1"/>
    <x v="7"/>
    <x v="1"/>
    <x v="0"/>
    <x v="1"/>
    <x v="0"/>
    <n v="0"/>
  </r>
  <r>
    <s v="EMP1259"/>
    <n v="30"/>
    <n v="782010"/>
    <n v="0"/>
    <x v="0"/>
    <x v="0"/>
    <x v="2"/>
    <x v="2"/>
    <x v="0"/>
    <x v="1"/>
    <x v="0"/>
    <x v="0"/>
    <n v="1"/>
  </r>
  <r>
    <s v="EMP1260"/>
    <n v="27"/>
    <n v="642305"/>
    <n v="2"/>
    <x v="1"/>
    <x v="0"/>
    <x v="4"/>
    <x v="3"/>
    <x v="0"/>
    <x v="2"/>
    <x v="0"/>
    <x v="0"/>
    <n v="0"/>
  </r>
  <r>
    <s v="EMP1261"/>
    <n v="26"/>
    <n v="1211818"/>
    <n v="2"/>
    <x v="1"/>
    <x v="1"/>
    <x v="1"/>
    <x v="8"/>
    <x v="1"/>
    <x v="2"/>
    <x v="1"/>
    <x v="0"/>
    <n v="0"/>
  </r>
  <r>
    <s v="EMP1262"/>
    <n v="21"/>
    <n v="563765"/>
    <n v="0"/>
    <x v="1"/>
    <x v="1"/>
    <x v="7"/>
    <x v="0"/>
    <x v="1"/>
    <x v="0"/>
    <x v="0"/>
    <x v="0"/>
    <n v="0"/>
  </r>
  <r>
    <s v="EMP1263"/>
    <n v="38"/>
    <n v="1963038"/>
    <n v="7"/>
    <x v="0"/>
    <x v="0"/>
    <x v="3"/>
    <x v="5"/>
    <x v="1"/>
    <x v="1"/>
    <x v="2"/>
    <x v="1"/>
    <n v="1"/>
  </r>
  <r>
    <s v="EMP1264"/>
    <n v="27"/>
    <n v="735276"/>
    <n v="0"/>
    <x v="0"/>
    <x v="1"/>
    <x v="0"/>
    <x v="5"/>
    <x v="0"/>
    <x v="2"/>
    <x v="0"/>
    <x v="0"/>
    <n v="1"/>
  </r>
  <r>
    <s v="EMP1265"/>
    <n v="35"/>
    <n v="1943355"/>
    <n v="7"/>
    <x v="1"/>
    <x v="4"/>
    <x v="1"/>
    <x v="0"/>
    <x v="0"/>
    <x v="1"/>
    <x v="2"/>
    <x v="1"/>
    <n v="0"/>
  </r>
  <r>
    <s v="EMP1266"/>
    <n v="21"/>
    <n v="900841"/>
    <n v="0"/>
    <x v="0"/>
    <x v="1"/>
    <x v="4"/>
    <x v="5"/>
    <x v="1"/>
    <x v="0"/>
    <x v="0"/>
    <x v="0"/>
    <n v="1"/>
  </r>
  <r>
    <s v="EMP1267"/>
    <n v="21"/>
    <n v="1006154"/>
    <n v="0"/>
    <x v="1"/>
    <x v="1"/>
    <x v="1"/>
    <x v="2"/>
    <x v="0"/>
    <x v="0"/>
    <x v="1"/>
    <x v="0"/>
    <n v="0"/>
  </r>
  <r>
    <s v="EMP1268"/>
    <n v="37"/>
    <n v="1882277"/>
    <n v="6"/>
    <x v="1"/>
    <x v="0"/>
    <x v="1"/>
    <x v="6"/>
    <x v="1"/>
    <x v="1"/>
    <x v="2"/>
    <x v="1"/>
    <n v="0"/>
  </r>
  <r>
    <s v="EMP1269"/>
    <n v="35"/>
    <n v="716262"/>
    <n v="9"/>
    <x v="1"/>
    <x v="0"/>
    <x v="6"/>
    <x v="6"/>
    <x v="0"/>
    <x v="1"/>
    <x v="0"/>
    <x v="1"/>
    <n v="0"/>
  </r>
  <r>
    <s v="EMP1270"/>
    <n v="27"/>
    <n v="1071403"/>
    <n v="6"/>
    <x v="0"/>
    <x v="0"/>
    <x v="7"/>
    <x v="1"/>
    <x v="1"/>
    <x v="2"/>
    <x v="1"/>
    <x v="1"/>
    <n v="1"/>
  </r>
  <r>
    <s v="EMP1271"/>
    <n v="25"/>
    <n v="472859"/>
    <n v="0"/>
    <x v="0"/>
    <x v="2"/>
    <x v="5"/>
    <x v="2"/>
    <x v="1"/>
    <x v="2"/>
    <x v="3"/>
    <x v="0"/>
    <n v="1"/>
  </r>
  <r>
    <s v="EMP1272"/>
    <n v="40"/>
    <n v="1430402"/>
    <n v="13"/>
    <x v="1"/>
    <x v="3"/>
    <x v="7"/>
    <x v="0"/>
    <x v="0"/>
    <x v="3"/>
    <x v="1"/>
    <x v="3"/>
    <n v="0"/>
  </r>
  <r>
    <s v="EMP1273"/>
    <n v="31"/>
    <n v="800808"/>
    <n v="2"/>
    <x v="0"/>
    <x v="4"/>
    <x v="5"/>
    <x v="6"/>
    <x v="1"/>
    <x v="1"/>
    <x v="0"/>
    <x v="0"/>
    <n v="1"/>
  </r>
  <r>
    <s v="EMP1274"/>
    <n v="34"/>
    <n v="863878"/>
    <n v="6"/>
    <x v="1"/>
    <x v="2"/>
    <x v="2"/>
    <x v="3"/>
    <x v="0"/>
    <x v="1"/>
    <x v="0"/>
    <x v="1"/>
    <n v="0"/>
  </r>
  <r>
    <s v="EMP1275"/>
    <n v="33"/>
    <n v="741430"/>
    <n v="9"/>
    <x v="1"/>
    <x v="0"/>
    <x v="6"/>
    <x v="7"/>
    <x v="0"/>
    <x v="1"/>
    <x v="0"/>
    <x v="1"/>
    <n v="0"/>
  </r>
  <r>
    <s v="EMP1276"/>
    <n v="21"/>
    <n v="1025817"/>
    <n v="0"/>
    <x v="1"/>
    <x v="0"/>
    <x v="4"/>
    <x v="7"/>
    <x v="0"/>
    <x v="0"/>
    <x v="1"/>
    <x v="0"/>
    <n v="0"/>
  </r>
  <r>
    <s v="EMP1277"/>
    <n v="23"/>
    <n v="1331527"/>
    <n v="0"/>
    <x v="1"/>
    <x v="2"/>
    <x v="3"/>
    <x v="5"/>
    <x v="0"/>
    <x v="0"/>
    <x v="1"/>
    <x v="0"/>
    <n v="0"/>
  </r>
  <r>
    <s v="EMP1278"/>
    <n v="21"/>
    <n v="1249259"/>
    <n v="0"/>
    <x v="1"/>
    <x v="0"/>
    <x v="3"/>
    <x v="2"/>
    <x v="1"/>
    <x v="0"/>
    <x v="1"/>
    <x v="0"/>
    <n v="0"/>
  </r>
  <r>
    <s v="EMP1279"/>
    <n v="28"/>
    <n v="582793"/>
    <n v="0"/>
    <x v="1"/>
    <x v="3"/>
    <x v="5"/>
    <x v="8"/>
    <x v="1"/>
    <x v="2"/>
    <x v="0"/>
    <x v="0"/>
    <n v="0"/>
  </r>
  <r>
    <s v="EMP1280"/>
    <n v="33"/>
    <n v="1553818"/>
    <n v="9"/>
    <x v="1"/>
    <x v="2"/>
    <x v="0"/>
    <x v="8"/>
    <x v="1"/>
    <x v="1"/>
    <x v="2"/>
    <x v="1"/>
    <n v="0"/>
  </r>
  <r>
    <s v="EMP1281"/>
    <n v="31"/>
    <n v="1312974"/>
    <n v="1"/>
    <x v="1"/>
    <x v="0"/>
    <x v="3"/>
    <x v="2"/>
    <x v="0"/>
    <x v="1"/>
    <x v="1"/>
    <x v="0"/>
    <n v="0"/>
  </r>
  <r>
    <s v="EMP1282"/>
    <n v="39"/>
    <n v="2006199"/>
    <n v="8"/>
    <x v="1"/>
    <x v="0"/>
    <x v="1"/>
    <x v="6"/>
    <x v="0"/>
    <x v="1"/>
    <x v="2"/>
    <x v="1"/>
    <n v="0"/>
  </r>
  <r>
    <s v="EMP1283"/>
    <n v="40"/>
    <n v="1129922"/>
    <n v="9"/>
    <x v="0"/>
    <x v="1"/>
    <x v="4"/>
    <x v="0"/>
    <x v="1"/>
    <x v="3"/>
    <x v="1"/>
    <x v="1"/>
    <n v="1"/>
  </r>
  <r>
    <s v="EMP1284"/>
    <n v="30"/>
    <n v="1317865"/>
    <n v="6"/>
    <x v="1"/>
    <x v="4"/>
    <x v="1"/>
    <x v="2"/>
    <x v="1"/>
    <x v="1"/>
    <x v="1"/>
    <x v="1"/>
    <n v="0"/>
  </r>
  <r>
    <s v="EMP1285"/>
    <n v="38"/>
    <n v="1443085"/>
    <n v="12"/>
    <x v="1"/>
    <x v="0"/>
    <x v="0"/>
    <x v="1"/>
    <x v="1"/>
    <x v="1"/>
    <x v="1"/>
    <x v="3"/>
    <n v="0"/>
  </r>
  <r>
    <s v="EMP1286"/>
    <n v="28"/>
    <n v="816177"/>
    <n v="6"/>
    <x v="1"/>
    <x v="1"/>
    <x v="2"/>
    <x v="9"/>
    <x v="1"/>
    <x v="2"/>
    <x v="0"/>
    <x v="1"/>
    <n v="0"/>
  </r>
  <r>
    <s v="EMP1287"/>
    <n v="34"/>
    <n v="897605"/>
    <n v="5"/>
    <x v="0"/>
    <x v="0"/>
    <x v="4"/>
    <x v="3"/>
    <x v="1"/>
    <x v="1"/>
    <x v="0"/>
    <x v="2"/>
    <n v="1"/>
  </r>
  <r>
    <s v="EMP1288"/>
    <n v="35"/>
    <n v="1155958"/>
    <n v="7"/>
    <x v="0"/>
    <x v="0"/>
    <x v="7"/>
    <x v="1"/>
    <x v="0"/>
    <x v="1"/>
    <x v="1"/>
    <x v="1"/>
    <n v="1"/>
  </r>
  <r>
    <s v="EMP1289"/>
    <n v="32"/>
    <n v="945951"/>
    <n v="7"/>
    <x v="0"/>
    <x v="0"/>
    <x v="2"/>
    <x v="2"/>
    <x v="1"/>
    <x v="1"/>
    <x v="0"/>
    <x v="1"/>
    <n v="1"/>
  </r>
  <r>
    <s v="EMP1290"/>
    <n v="32"/>
    <n v="768854"/>
    <n v="1"/>
    <x v="1"/>
    <x v="1"/>
    <x v="2"/>
    <x v="7"/>
    <x v="0"/>
    <x v="1"/>
    <x v="0"/>
    <x v="0"/>
    <n v="0"/>
  </r>
  <r>
    <s v="EMP1291"/>
    <n v="30"/>
    <n v="1389600"/>
    <n v="6"/>
    <x v="1"/>
    <x v="0"/>
    <x v="1"/>
    <x v="8"/>
    <x v="0"/>
    <x v="1"/>
    <x v="1"/>
    <x v="1"/>
    <n v="0"/>
  </r>
  <r>
    <s v="EMP1292"/>
    <n v="32"/>
    <n v="1539046"/>
    <n v="0"/>
    <x v="1"/>
    <x v="2"/>
    <x v="1"/>
    <x v="5"/>
    <x v="1"/>
    <x v="1"/>
    <x v="2"/>
    <x v="0"/>
    <n v="0"/>
  </r>
  <r>
    <s v="EMP1293"/>
    <n v="37"/>
    <n v="1290993"/>
    <n v="10"/>
    <x v="1"/>
    <x v="1"/>
    <x v="4"/>
    <x v="7"/>
    <x v="0"/>
    <x v="1"/>
    <x v="1"/>
    <x v="1"/>
    <n v="0"/>
  </r>
  <r>
    <s v="EMP1294"/>
    <n v="32"/>
    <n v="998164"/>
    <n v="3"/>
    <x v="1"/>
    <x v="1"/>
    <x v="1"/>
    <x v="4"/>
    <x v="0"/>
    <x v="1"/>
    <x v="0"/>
    <x v="2"/>
    <n v="0"/>
  </r>
  <r>
    <s v="EMP1295"/>
    <n v="27"/>
    <n v="657739"/>
    <n v="3"/>
    <x v="1"/>
    <x v="2"/>
    <x v="2"/>
    <x v="6"/>
    <x v="0"/>
    <x v="2"/>
    <x v="0"/>
    <x v="2"/>
    <n v="0"/>
  </r>
  <r>
    <s v="EMP1296"/>
    <n v="39"/>
    <n v="1063695"/>
    <n v="8"/>
    <x v="1"/>
    <x v="0"/>
    <x v="4"/>
    <x v="3"/>
    <x v="0"/>
    <x v="1"/>
    <x v="1"/>
    <x v="1"/>
    <n v="0"/>
  </r>
  <r>
    <s v="EMP1297"/>
    <n v="31"/>
    <n v="1267001"/>
    <n v="10"/>
    <x v="1"/>
    <x v="0"/>
    <x v="7"/>
    <x v="8"/>
    <x v="0"/>
    <x v="1"/>
    <x v="1"/>
    <x v="1"/>
    <n v="0"/>
  </r>
  <r>
    <s v="EMP1298"/>
    <n v="26"/>
    <n v="652758"/>
    <n v="3"/>
    <x v="1"/>
    <x v="1"/>
    <x v="2"/>
    <x v="9"/>
    <x v="1"/>
    <x v="2"/>
    <x v="0"/>
    <x v="2"/>
    <n v="0"/>
  </r>
  <r>
    <s v="EMP1299"/>
    <n v="34"/>
    <n v="1252766"/>
    <n v="6"/>
    <x v="1"/>
    <x v="0"/>
    <x v="1"/>
    <x v="1"/>
    <x v="0"/>
    <x v="1"/>
    <x v="1"/>
    <x v="1"/>
    <n v="0"/>
  </r>
  <r>
    <s v="EMP1300"/>
    <n v="30"/>
    <n v="645722"/>
    <n v="3"/>
    <x v="1"/>
    <x v="0"/>
    <x v="6"/>
    <x v="8"/>
    <x v="0"/>
    <x v="1"/>
    <x v="0"/>
    <x v="2"/>
    <n v="0"/>
  </r>
  <r>
    <s v="EMP1301"/>
    <n v="30"/>
    <n v="1385719"/>
    <n v="6"/>
    <x v="1"/>
    <x v="0"/>
    <x v="1"/>
    <x v="9"/>
    <x v="0"/>
    <x v="1"/>
    <x v="1"/>
    <x v="1"/>
    <n v="0"/>
  </r>
  <r>
    <s v="EMP1302"/>
    <n v="29"/>
    <n v="1022840"/>
    <n v="0"/>
    <x v="1"/>
    <x v="1"/>
    <x v="4"/>
    <x v="5"/>
    <x v="0"/>
    <x v="2"/>
    <x v="1"/>
    <x v="0"/>
    <n v="0"/>
  </r>
  <r>
    <s v="EMP1303"/>
    <n v="21"/>
    <n v="292721"/>
    <n v="0"/>
    <x v="0"/>
    <x v="4"/>
    <x v="6"/>
    <x v="7"/>
    <x v="0"/>
    <x v="0"/>
    <x v="3"/>
    <x v="0"/>
    <n v="1"/>
  </r>
  <r>
    <s v="EMP1304"/>
    <n v="24"/>
    <n v="1165307"/>
    <n v="0"/>
    <x v="1"/>
    <x v="4"/>
    <x v="1"/>
    <x v="3"/>
    <x v="0"/>
    <x v="0"/>
    <x v="1"/>
    <x v="0"/>
    <n v="0"/>
  </r>
  <r>
    <s v="EMP1305"/>
    <n v="46"/>
    <n v="1240868"/>
    <n v="14"/>
    <x v="0"/>
    <x v="3"/>
    <x v="2"/>
    <x v="3"/>
    <x v="1"/>
    <x v="3"/>
    <x v="1"/>
    <x v="3"/>
    <n v="1"/>
  </r>
  <r>
    <s v="EMP1306"/>
    <n v="42"/>
    <n v="1678263"/>
    <n v="13"/>
    <x v="1"/>
    <x v="4"/>
    <x v="0"/>
    <x v="2"/>
    <x v="0"/>
    <x v="3"/>
    <x v="2"/>
    <x v="3"/>
    <n v="0"/>
  </r>
  <r>
    <s v="EMP1307"/>
    <n v="21"/>
    <n v="658980"/>
    <n v="0"/>
    <x v="1"/>
    <x v="3"/>
    <x v="7"/>
    <x v="5"/>
    <x v="1"/>
    <x v="0"/>
    <x v="0"/>
    <x v="0"/>
    <n v="0"/>
  </r>
  <r>
    <s v="EMP1308"/>
    <n v="22"/>
    <n v="616955"/>
    <n v="1"/>
    <x v="1"/>
    <x v="0"/>
    <x v="4"/>
    <x v="7"/>
    <x v="0"/>
    <x v="0"/>
    <x v="0"/>
    <x v="0"/>
    <n v="0"/>
  </r>
  <r>
    <s v="EMP1309"/>
    <n v="26"/>
    <n v="907446"/>
    <n v="0"/>
    <x v="1"/>
    <x v="3"/>
    <x v="1"/>
    <x v="4"/>
    <x v="0"/>
    <x v="2"/>
    <x v="0"/>
    <x v="0"/>
    <n v="0"/>
  </r>
  <r>
    <s v="EMP1310"/>
    <n v="31"/>
    <n v="1195763"/>
    <n v="5"/>
    <x v="1"/>
    <x v="0"/>
    <x v="3"/>
    <x v="0"/>
    <x v="1"/>
    <x v="1"/>
    <x v="1"/>
    <x v="2"/>
    <n v="0"/>
  </r>
  <r>
    <s v="EMP1311"/>
    <n v="34"/>
    <n v="1154313"/>
    <n v="4"/>
    <x v="1"/>
    <x v="0"/>
    <x v="4"/>
    <x v="3"/>
    <x v="0"/>
    <x v="1"/>
    <x v="1"/>
    <x v="2"/>
    <n v="0"/>
  </r>
  <r>
    <s v="EMP1312"/>
    <n v="29"/>
    <n v="456817"/>
    <n v="1"/>
    <x v="1"/>
    <x v="0"/>
    <x v="6"/>
    <x v="4"/>
    <x v="1"/>
    <x v="2"/>
    <x v="3"/>
    <x v="0"/>
    <n v="0"/>
  </r>
  <r>
    <s v="EMP1313"/>
    <n v="24"/>
    <n v="1650342"/>
    <n v="1"/>
    <x v="0"/>
    <x v="0"/>
    <x v="3"/>
    <x v="1"/>
    <x v="1"/>
    <x v="0"/>
    <x v="2"/>
    <x v="0"/>
    <n v="1"/>
  </r>
  <r>
    <s v="EMP1314"/>
    <n v="21"/>
    <n v="1576056"/>
    <n v="0"/>
    <x v="0"/>
    <x v="2"/>
    <x v="1"/>
    <x v="7"/>
    <x v="0"/>
    <x v="0"/>
    <x v="2"/>
    <x v="0"/>
    <n v="1"/>
  </r>
  <r>
    <s v="EMP1315"/>
    <n v="35"/>
    <n v="814316"/>
    <n v="8"/>
    <x v="1"/>
    <x v="0"/>
    <x v="2"/>
    <x v="7"/>
    <x v="0"/>
    <x v="1"/>
    <x v="0"/>
    <x v="1"/>
    <n v="0"/>
  </r>
  <r>
    <s v="EMP1316"/>
    <n v="34"/>
    <n v="1790421"/>
    <n v="7"/>
    <x v="1"/>
    <x v="1"/>
    <x v="3"/>
    <x v="1"/>
    <x v="1"/>
    <x v="1"/>
    <x v="2"/>
    <x v="1"/>
    <n v="0"/>
  </r>
  <r>
    <s v="EMP1317"/>
    <n v="32"/>
    <n v="1582359"/>
    <n v="7"/>
    <x v="1"/>
    <x v="0"/>
    <x v="3"/>
    <x v="0"/>
    <x v="1"/>
    <x v="1"/>
    <x v="2"/>
    <x v="1"/>
    <n v="0"/>
  </r>
  <r>
    <s v="EMP1318"/>
    <n v="23"/>
    <n v="1255016"/>
    <n v="0"/>
    <x v="0"/>
    <x v="0"/>
    <x v="1"/>
    <x v="7"/>
    <x v="1"/>
    <x v="0"/>
    <x v="1"/>
    <x v="0"/>
    <n v="1"/>
  </r>
  <r>
    <s v="EMP1319"/>
    <n v="36"/>
    <n v="822389"/>
    <n v="7"/>
    <x v="1"/>
    <x v="1"/>
    <x v="2"/>
    <x v="1"/>
    <x v="0"/>
    <x v="1"/>
    <x v="0"/>
    <x v="1"/>
    <n v="0"/>
  </r>
  <r>
    <s v="EMP1320"/>
    <n v="24"/>
    <n v="1176548"/>
    <n v="0"/>
    <x v="0"/>
    <x v="2"/>
    <x v="1"/>
    <x v="8"/>
    <x v="0"/>
    <x v="0"/>
    <x v="1"/>
    <x v="0"/>
    <n v="1"/>
  </r>
  <r>
    <s v="EMP1321"/>
    <n v="22"/>
    <n v="634046"/>
    <n v="0"/>
    <x v="1"/>
    <x v="0"/>
    <x v="4"/>
    <x v="3"/>
    <x v="0"/>
    <x v="0"/>
    <x v="0"/>
    <x v="0"/>
    <n v="0"/>
  </r>
  <r>
    <s v="EMP1322"/>
    <n v="36"/>
    <n v="1622833"/>
    <n v="2"/>
    <x v="1"/>
    <x v="2"/>
    <x v="1"/>
    <x v="1"/>
    <x v="0"/>
    <x v="1"/>
    <x v="2"/>
    <x v="0"/>
    <n v="0"/>
  </r>
  <r>
    <s v="EMP1323"/>
    <n v="21"/>
    <n v="861251"/>
    <n v="0"/>
    <x v="1"/>
    <x v="0"/>
    <x v="5"/>
    <x v="5"/>
    <x v="0"/>
    <x v="0"/>
    <x v="0"/>
    <x v="0"/>
    <n v="0"/>
  </r>
  <r>
    <s v="EMP1324"/>
    <n v="30"/>
    <n v="1264218"/>
    <n v="9"/>
    <x v="1"/>
    <x v="0"/>
    <x v="1"/>
    <x v="0"/>
    <x v="1"/>
    <x v="1"/>
    <x v="1"/>
    <x v="1"/>
    <n v="0"/>
  </r>
  <r>
    <s v="EMP1325"/>
    <n v="41"/>
    <n v="1624312"/>
    <n v="9"/>
    <x v="1"/>
    <x v="2"/>
    <x v="1"/>
    <x v="3"/>
    <x v="1"/>
    <x v="3"/>
    <x v="2"/>
    <x v="1"/>
    <n v="0"/>
  </r>
  <r>
    <s v="EMP1326"/>
    <n v="22"/>
    <n v="492905"/>
    <n v="0"/>
    <x v="1"/>
    <x v="0"/>
    <x v="6"/>
    <x v="7"/>
    <x v="1"/>
    <x v="0"/>
    <x v="3"/>
    <x v="0"/>
    <n v="0"/>
  </r>
  <r>
    <s v="EMP1327"/>
    <n v="25"/>
    <n v="678441"/>
    <n v="3"/>
    <x v="0"/>
    <x v="4"/>
    <x v="6"/>
    <x v="3"/>
    <x v="1"/>
    <x v="2"/>
    <x v="0"/>
    <x v="2"/>
    <n v="1"/>
  </r>
  <r>
    <s v="EMP1328"/>
    <n v="21"/>
    <n v="1178073"/>
    <n v="0"/>
    <x v="1"/>
    <x v="0"/>
    <x v="3"/>
    <x v="4"/>
    <x v="1"/>
    <x v="0"/>
    <x v="1"/>
    <x v="0"/>
    <n v="0"/>
  </r>
  <r>
    <s v="EMP1329"/>
    <n v="40"/>
    <n v="969393"/>
    <n v="12"/>
    <x v="1"/>
    <x v="0"/>
    <x v="6"/>
    <x v="4"/>
    <x v="0"/>
    <x v="3"/>
    <x v="0"/>
    <x v="3"/>
    <n v="0"/>
  </r>
  <r>
    <s v="EMP1330"/>
    <n v="23"/>
    <n v="567361"/>
    <n v="2"/>
    <x v="1"/>
    <x v="1"/>
    <x v="4"/>
    <x v="9"/>
    <x v="0"/>
    <x v="0"/>
    <x v="0"/>
    <x v="0"/>
    <n v="0"/>
  </r>
  <r>
    <s v="EMP1331"/>
    <n v="27"/>
    <n v="1360727"/>
    <n v="3"/>
    <x v="1"/>
    <x v="0"/>
    <x v="1"/>
    <x v="8"/>
    <x v="1"/>
    <x v="2"/>
    <x v="1"/>
    <x v="2"/>
    <n v="0"/>
  </r>
  <r>
    <s v="EMP1332"/>
    <n v="28"/>
    <n v="689722"/>
    <n v="5"/>
    <x v="0"/>
    <x v="1"/>
    <x v="2"/>
    <x v="4"/>
    <x v="0"/>
    <x v="2"/>
    <x v="0"/>
    <x v="2"/>
    <n v="1"/>
  </r>
  <r>
    <s v="EMP1333"/>
    <n v="21"/>
    <n v="1732374"/>
    <n v="0"/>
    <x v="1"/>
    <x v="0"/>
    <x v="3"/>
    <x v="2"/>
    <x v="0"/>
    <x v="0"/>
    <x v="2"/>
    <x v="0"/>
    <n v="0"/>
  </r>
  <r>
    <s v="EMP1334"/>
    <n v="38"/>
    <n v="1232942"/>
    <n v="11"/>
    <x v="1"/>
    <x v="2"/>
    <x v="2"/>
    <x v="5"/>
    <x v="1"/>
    <x v="1"/>
    <x v="1"/>
    <x v="3"/>
    <n v="0"/>
  </r>
  <r>
    <s v="EMP1335"/>
    <n v="39"/>
    <n v="1637285"/>
    <n v="12"/>
    <x v="1"/>
    <x v="2"/>
    <x v="1"/>
    <x v="8"/>
    <x v="0"/>
    <x v="1"/>
    <x v="2"/>
    <x v="3"/>
    <n v="0"/>
  </r>
  <r>
    <s v="EMP1336"/>
    <n v="31"/>
    <n v="698556"/>
    <n v="4"/>
    <x v="1"/>
    <x v="0"/>
    <x v="6"/>
    <x v="4"/>
    <x v="1"/>
    <x v="1"/>
    <x v="0"/>
    <x v="2"/>
    <n v="0"/>
  </r>
  <r>
    <s v="EMP1337"/>
    <n v="37"/>
    <n v="888730"/>
    <n v="5"/>
    <x v="1"/>
    <x v="1"/>
    <x v="6"/>
    <x v="9"/>
    <x v="0"/>
    <x v="1"/>
    <x v="0"/>
    <x v="2"/>
    <n v="0"/>
  </r>
  <r>
    <s v="EMP1338"/>
    <n v="32"/>
    <n v="998743"/>
    <n v="0"/>
    <x v="1"/>
    <x v="2"/>
    <x v="0"/>
    <x v="7"/>
    <x v="1"/>
    <x v="1"/>
    <x v="0"/>
    <x v="0"/>
    <n v="0"/>
  </r>
  <r>
    <s v="EMP1339"/>
    <n v="34"/>
    <n v="1055042"/>
    <n v="9"/>
    <x v="1"/>
    <x v="1"/>
    <x v="4"/>
    <x v="7"/>
    <x v="0"/>
    <x v="1"/>
    <x v="1"/>
    <x v="1"/>
    <n v="0"/>
  </r>
  <r>
    <s v="EMP1340"/>
    <n v="45"/>
    <n v="1665404"/>
    <n v="12"/>
    <x v="1"/>
    <x v="0"/>
    <x v="1"/>
    <x v="3"/>
    <x v="0"/>
    <x v="3"/>
    <x v="2"/>
    <x v="3"/>
    <n v="0"/>
  </r>
  <r>
    <s v="EMP1341"/>
    <n v="40"/>
    <n v="821671"/>
    <n v="7"/>
    <x v="1"/>
    <x v="0"/>
    <x v="7"/>
    <x v="1"/>
    <x v="1"/>
    <x v="3"/>
    <x v="0"/>
    <x v="1"/>
    <n v="0"/>
  </r>
  <r>
    <s v="EMP1342"/>
    <n v="38"/>
    <n v="1555654"/>
    <n v="8"/>
    <x v="1"/>
    <x v="0"/>
    <x v="3"/>
    <x v="0"/>
    <x v="0"/>
    <x v="1"/>
    <x v="2"/>
    <x v="1"/>
    <n v="0"/>
  </r>
  <r>
    <s v="EMP1343"/>
    <n v="42"/>
    <n v="1204363"/>
    <n v="10"/>
    <x v="0"/>
    <x v="3"/>
    <x v="0"/>
    <x v="4"/>
    <x v="0"/>
    <x v="3"/>
    <x v="1"/>
    <x v="1"/>
    <n v="1"/>
  </r>
  <r>
    <s v="EMP1344"/>
    <n v="21"/>
    <n v="566819"/>
    <n v="0"/>
    <x v="1"/>
    <x v="0"/>
    <x v="4"/>
    <x v="0"/>
    <x v="0"/>
    <x v="0"/>
    <x v="0"/>
    <x v="0"/>
    <n v="0"/>
  </r>
  <r>
    <s v="EMP1345"/>
    <n v="26"/>
    <n v="1197860"/>
    <n v="0"/>
    <x v="1"/>
    <x v="3"/>
    <x v="1"/>
    <x v="0"/>
    <x v="0"/>
    <x v="2"/>
    <x v="1"/>
    <x v="0"/>
    <n v="0"/>
  </r>
  <r>
    <s v="EMP1346"/>
    <n v="22"/>
    <n v="1158051"/>
    <n v="0"/>
    <x v="0"/>
    <x v="0"/>
    <x v="1"/>
    <x v="7"/>
    <x v="0"/>
    <x v="0"/>
    <x v="1"/>
    <x v="0"/>
    <n v="1"/>
  </r>
  <r>
    <s v="EMP1347"/>
    <n v="40"/>
    <n v="1756504"/>
    <n v="13"/>
    <x v="1"/>
    <x v="1"/>
    <x v="1"/>
    <x v="5"/>
    <x v="0"/>
    <x v="3"/>
    <x v="2"/>
    <x v="3"/>
    <n v="0"/>
  </r>
  <r>
    <s v="EMP1348"/>
    <n v="21"/>
    <n v="600653"/>
    <n v="0"/>
    <x v="1"/>
    <x v="0"/>
    <x v="2"/>
    <x v="5"/>
    <x v="0"/>
    <x v="0"/>
    <x v="0"/>
    <x v="0"/>
    <n v="0"/>
  </r>
  <r>
    <s v="EMP1349"/>
    <n v="32"/>
    <n v="715120"/>
    <n v="5"/>
    <x v="1"/>
    <x v="1"/>
    <x v="2"/>
    <x v="7"/>
    <x v="0"/>
    <x v="1"/>
    <x v="0"/>
    <x v="2"/>
    <n v="0"/>
  </r>
  <r>
    <s v="EMP1350"/>
    <n v="35"/>
    <n v="1199308"/>
    <n v="7"/>
    <x v="1"/>
    <x v="1"/>
    <x v="0"/>
    <x v="5"/>
    <x v="1"/>
    <x v="1"/>
    <x v="1"/>
    <x v="1"/>
    <n v="0"/>
  </r>
  <r>
    <s v="EMP1351"/>
    <n v="43"/>
    <n v="1503141"/>
    <n v="10"/>
    <x v="1"/>
    <x v="0"/>
    <x v="5"/>
    <x v="1"/>
    <x v="0"/>
    <x v="3"/>
    <x v="2"/>
    <x v="1"/>
    <n v="0"/>
  </r>
  <r>
    <s v="EMP1352"/>
    <n v="41"/>
    <n v="1023903"/>
    <n v="11"/>
    <x v="1"/>
    <x v="0"/>
    <x v="4"/>
    <x v="9"/>
    <x v="0"/>
    <x v="3"/>
    <x v="1"/>
    <x v="3"/>
    <n v="0"/>
  </r>
  <r>
    <s v="EMP1353"/>
    <n v="43"/>
    <n v="2054208"/>
    <n v="11"/>
    <x v="1"/>
    <x v="1"/>
    <x v="1"/>
    <x v="8"/>
    <x v="0"/>
    <x v="3"/>
    <x v="2"/>
    <x v="3"/>
    <n v="0"/>
  </r>
  <r>
    <s v="EMP1354"/>
    <n v="35"/>
    <n v="943610"/>
    <n v="9"/>
    <x v="0"/>
    <x v="0"/>
    <x v="4"/>
    <x v="6"/>
    <x v="0"/>
    <x v="1"/>
    <x v="0"/>
    <x v="1"/>
    <n v="1"/>
  </r>
  <r>
    <s v="EMP1355"/>
    <n v="33"/>
    <n v="1545431"/>
    <n v="8"/>
    <x v="1"/>
    <x v="0"/>
    <x v="1"/>
    <x v="1"/>
    <x v="0"/>
    <x v="1"/>
    <x v="2"/>
    <x v="1"/>
    <n v="0"/>
  </r>
  <r>
    <s v="EMP1356"/>
    <n v="30"/>
    <n v="612362"/>
    <n v="0"/>
    <x v="1"/>
    <x v="0"/>
    <x v="4"/>
    <x v="8"/>
    <x v="0"/>
    <x v="1"/>
    <x v="0"/>
    <x v="0"/>
    <n v="0"/>
  </r>
  <r>
    <s v="EMP1357"/>
    <n v="28"/>
    <n v="587865"/>
    <n v="0"/>
    <x v="1"/>
    <x v="0"/>
    <x v="5"/>
    <x v="1"/>
    <x v="1"/>
    <x v="2"/>
    <x v="0"/>
    <x v="0"/>
    <n v="0"/>
  </r>
  <r>
    <s v="EMP1358"/>
    <n v="32"/>
    <n v="1762426"/>
    <n v="4"/>
    <x v="0"/>
    <x v="2"/>
    <x v="1"/>
    <x v="3"/>
    <x v="0"/>
    <x v="1"/>
    <x v="2"/>
    <x v="2"/>
    <n v="1"/>
  </r>
  <r>
    <s v="EMP1359"/>
    <n v="35"/>
    <n v="592507"/>
    <n v="4"/>
    <x v="1"/>
    <x v="0"/>
    <x v="6"/>
    <x v="9"/>
    <x v="0"/>
    <x v="1"/>
    <x v="0"/>
    <x v="2"/>
    <n v="0"/>
  </r>
  <r>
    <s v="EMP1360"/>
    <n v="34"/>
    <n v="1397021"/>
    <n v="13"/>
    <x v="1"/>
    <x v="1"/>
    <x v="7"/>
    <x v="0"/>
    <x v="0"/>
    <x v="1"/>
    <x v="1"/>
    <x v="3"/>
    <n v="0"/>
  </r>
  <r>
    <s v="EMP1361"/>
    <n v="23"/>
    <n v="1408338"/>
    <n v="0"/>
    <x v="0"/>
    <x v="0"/>
    <x v="1"/>
    <x v="9"/>
    <x v="0"/>
    <x v="0"/>
    <x v="1"/>
    <x v="0"/>
    <n v="1"/>
  </r>
  <r>
    <s v="EMP1362"/>
    <n v="21"/>
    <n v="573441"/>
    <n v="0"/>
    <x v="1"/>
    <x v="0"/>
    <x v="6"/>
    <x v="7"/>
    <x v="1"/>
    <x v="0"/>
    <x v="0"/>
    <x v="0"/>
    <n v="0"/>
  </r>
  <r>
    <s v="EMP1363"/>
    <n v="25"/>
    <n v="695089"/>
    <n v="3"/>
    <x v="0"/>
    <x v="2"/>
    <x v="4"/>
    <x v="4"/>
    <x v="0"/>
    <x v="2"/>
    <x v="0"/>
    <x v="2"/>
    <n v="1"/>
  </r>
  <r>
    <s v="EMP1364"/>
    <n v="44"/>
    <n v="1376734"/>
    <n v="10"/>
    <x v="1"/>
    <x v="0"/>
    <x v="0"/>
    <x v="7"/>
    <x v="0"/>
    <x v="3"/>
    <x v="1"/>
    <x v="1"/>
    <n v="0"/>
  </r>
  <r>
    <s v="EMP1365"/>
    <n v="30"/>
    <n v="645129"/>
    <n v="3"/>
    <x v="1"/>
    <x v="0"/>
    <x v="2"/>
    <x v="0"/>
    <x v="0"/>
    <x v="1"/>
    <x v="0"/>
    <x v="2"/>
    <n v="0"/>
  </r>
  <r>
    <s v="EMP1366"/>
    <n v="35"/>
    <n v="1495065"/>
    <n v="13"/>
    <x v="1"/>
    <x v="0"/>
    <x v="4"/>
    <x v="3"/>
    <x v="0"/>
    <x v="1"/>
    <x v="1"/>
    <x v="3"/>
    <n v="0"/>
  </r>
  <r>
    <s v="EMP1367"/>
    <n v="35"/>
    <n v="1469784"/>
    <n v="14"/>
    <x v="1"/>
    <x v="2"/>
    <x v="0"/>
    <x v="7"/>
    <x v="1"/>
    <x v="1"/>
    <x v="1"/>
    <x v="3"/>
    <n v="0"/>
  </r>
  <r>
    <s v="EMP1368"/>
    <n v="26"/>
    <n v="773884"/>
    <n v="5"/>
    <x v="0"/>
    <x v="0"/>
    <x v="2"/>
    <x v="0"/>
    <x v="0"/>
    <x v="2"/>
    <x v="0"/>
    <x v="2"/>
    <n v="1"/>
  </r>
  <r>
    <s v="EMP1369"/>
    <n v="31"/>
    <n v="1006323"/>
    <n v="3"/>
    <x v="1"/>
    <x v="4"/>
    <x v="1"/>
    <x v="4"/>
    <x v="1"/>
    <x v="1"/>
    <x v="1"/>
    <x v="2"/>
    <n v="0"/>
  </r>
  <r>
    <s v="EMP1370"/>
    <n v="37"/>
    <n v="1117024"/>
    <n v="9"/>
    <x v="1"/>
    <x v="0"/>
    <x v="6"/>
    <x v="3"/>
    <x v="0"/>
    <x v="1"/>
    <x v="1"/>
    <x v="1"/>
    <n v="0"/>
  </r>
  <r>
    <s v="EMP1371"/>
    <n v="34"/>
    <n v="683387"/>
    <n v="6"/>
    <x v="1"/>
    <x v="1"/>
    <x v="6"/>
    <x v="6"/>
    <x v="0"/>
    <x v="1"/>
    <x v="0"/>
    <x v="1"/>
    <n v="0"/>
  </r>
  <r>
    <s v="EMP1372"/>
    <n v="27"/>
    <n v="1197779"/>
    <n v="5"/>
    <x v="0"/>
    <x v="0"/>
    <x v="3"/>
    <x v="9"/>
    <x v="0"/>
    <x v="2"/>
    <x v="1"/>
    <x v="2"/>
    <n v="1"/>
  </r>
  <r>
    <s v="EMP1373"/>
    <n v="29"/>
    <n v="1507991"/>
    <n v="8"/>
    <x v="1"/>
    <x v="0"/>
    <x v="3"/>
    <x v="8"/>
    <x v="0"/>
    <x v="2"/>
    <x v="2"/>
    <x v="1"/>
    <n v="0"/>
  </r>
  <r>
    <s v="EMP1374"/>
    <n v="27"/>
    <n v="466499"/>
    <n v="1"/>
    <x v="0"/>
    <x v="0"/>
    <x v="4"/>
    <x v="6"/>
    <x v="0"/>
    <x v="2"/>
    <x v="3"/>
    <x v="0"/>
    <n v="1"/>
  </r>
  <r>
    <s v="EMP1375"/>
    <n v="30"/>
    <n v="1371168"/>
    <n v="9"/>
    <x v="1"/>
    <x v="2"/>
    <x v="5"/>
    <x v="3"/>
    <x v="0"/>
    <x v="1"/>
    <x v="1"/>
    <x v="1"/>
    <n v="0"/>
  </r>
  <r>
    <s v="EMP1376"/>
    <n v="42"/>
    <n v="1401015"/>
    <n v="13"/>
    <x v="1"/>
    <x v="2"/>
    <x v="4"/>
    <x v="0"/>
    <x v="1"/>
    <x v="3"/>
    <x v="1"/>
    <x v="3"/>
    <n v="0"/>
  </r>
  <r>
    <s v="EMP1377"/>
    <n v="26"/>
    <n v="662040"/>
    <n v="4"/>
    <x v="1"/>
    <x v="1"/>
    <x v="2"/>
    <x v="4"/>
    <x v="1"/>
    <x v="2"/>
    <x v="0"/>
    <x v="2"/>
    <n v="0"/>
  </r>
  <r>
    <s v="EMP1378"/>
    <n v="33"/>
    <n v="1299717"/>
    <n v="7"/>
    <x v="1"/>
    <x v="0"/>
    <x v="1"/>
    <x v="8"/>
    <x v="1"/>
    <x v="1"/>
    <x v="1"/>
    <x v="1"/>
    <n v="0"/>
  </r>
  <r>
    <s v="EMP1379"/>
    <n v="27"/>
    <n v="576558"/>
    <n v="0"/>
    <x v="0"/>
    <x v="0"/>
    <x v="2"/>
    <x v="0"/>
    <x v="0"/>
    <x v="2"/>
    <x v="0"/>
    <x v="0"/>
    <n v="1"/>
  </r>
  <r>
    <s v="EMP1380"/>
    <n v="30"/>
    <n v="821735"/>
    <n v="2"/>
    <x v="1"/>
    <x v="1"/>
    <x v="6"/>
    <x v="4"/>
    <x v="0"/>
    <x v="1"/>
    <x v="0"/>
    <x v="0"/>
    <n v="0"/>
  </r>
  <r>
    <s v="EMP1381"/>
    <n v="32"/>
    <n v="1263933"/>
    <n v="5"/>
    <x v="1"/>
    <x v="0"/>
    <x v="1"/>
    <x v="5"/>
    <x v="1"/>
    <x v="1"/>
    <x v="1"/>
    <x v="2"/>
    <n v="0"/>
  </r>
  <r>
    <s v="EMP1382"/>
    <n v="27"/>
    <n v="739072"/>
    <n v="5"/>
    <x v="0"/>
    <x v="1"/>
    <x v="6"/>
    <x v="3"/>
    <x v="1"/>
    <x v="2"/>
    <x v="0"/>
    <x v="2"/>
    <n v="1"/>
  </r>
  <r>
    <s v="EMP1383"/>
    <n v="25"/>
    <n v="1058062"/>
    <n v="4"/>
    <x v="0"/>
    <x v="0"/>
    <x v="7"/>
    <x v="3"/>
    <x v="0"/>
    <x v="2"/>
    <x v="1"/>
    <x v="2"/>
    <n v="1"/>
  </r>
  <r>
    <s v="EMP1384"/>
    <n v="35"/>
    <n v="807815"/>
    <n v="9"/>
    <x v="1"/>
    <x v="1"/>
    <x v="6"/>
    <x v="8"/>
    <x v="1"/>
    <x v="1"/>
    <x v="0"/>
    <x v="1"/>
    <n v="0"/>
  </r>
  <r>
    <s v="EMP1385"/>
    <n v="28"/>
    <n v="1229525"/>
    <n v="5"/>
    <x v="1"/>
    <x v="1"/>
    <x v="1"/>
    <x v="9"/>
    <x v="1"/>
    <x v="2"/>
    <x v="1"/>
    <x v="2"/>
    <n v="0"/>
  </r>
  <r>
    <s v="EMP1386"/>
    <n v="26"/>
    <n v="628032"/>
    <n v="0"/>
    <x v="1"/>
    <x v="1"/>
    <x v="5"/>
    <x v="6"/>
    <x v="1"/>
    <x v="2"/>
    <x v="0"/>
    <x v="0"/>
    <n v="0"/>
  </r>
  <r>
    <s v="EMP1387"/>
    <n v="23"/>
    <n v="960141"/>
    <n v="2"/>
    <x v="1"/>
    <x v="4"/>
    <x v="5"/>
    <x v="1"/>
    <x v="0"/>
    <x v="0"/>
    <x v="0"/>
    <x v="0"/>
    <n v="0"/>
  </r>
  <r>
    <s v="EMP1388"/>
    <n v="36"/>
    <n v="1317133"/>
    <n v="14"/>
    <x v="1"/>
    <x v="0"/>
    <x v="6"/>
    <x v="3"/>
    <x v="1"/>
    <x v="1"/>
    <x v="1"/>
    <x v="3"/>
    <n v="0"/>
  </r>
  <r>
    <s v="EMP1389"/>
    <n v="44"/>
    <n v="1128327"/>
    <n v="11"/>
    <x v="1"/>
    <x v="1"/>
    <x v="7"/>
    <x v="9"/>
    <x v="1"/>
    <x v="3"/>
    <x v="1"/>
    <x v="3"/>
    <n v="0"/>
  </r>
  <r>
    <s v="EMP1390"/>
    <n v="33"/>
    <n v="1892170"/>
    <n v="8"/>
    <x v="1"/>
    <x v="0"/>
    <x v="1"/>
    <x v="9"/>
    <x v="0"/>
    <x v="1"/>
    <x v="2"/>
    <x v="1"/>
    <n v="0"/>
  </r>
  <r>
    <s v="EMP1391"/>
    <n v="35"/>
    <n v="1135165"/>
    <n v="7"/>
    <x v="1"/>
    <x v="0"/>
    <x v="0"/>
    <x v="7"/>
    <x v="1"/>
    <x v="1"/>
    <x v="1"/>
    <x v="1"/>
    <n v="0"/>
  </r>
  <r>
    <s v="EMP1392"/>
    <n v="39"/>
    <n v="1636651"/>
    <n v="13"/>
    <x v="1"/>
    <x v="0"/>
    <x v="0"/>
    <x v="6"/>
    <x v="0"/>
    <x v="1"/>
    <x v="2"/>
    <x v="3"/>
    <n v="0"/>
  </r>
  <r>
    <s v="EMP1393"/>
    <n v="35"/>
    <n v="906776"/>
    <n v="11"/>
    <x v="1"/>
    <x v="0"/>
    <x v="4"/>
    <x v="7"/>
    <x v="1"/>
    <x v="1"/>
    <x v="0"/>
    <x v="3"/>
    <n v="0"/>
  </r>
  <r>
    <s v="EMP1394"/>
    <n v="53"/>
    <n v="1974097"/>
    <n v="18"/>
    <x v="0"/>
    <x v="0"/>
    <x v="1"/>
    <x v="7"/>
    <x v="0"/>
    <x v="4"/>
    <x v="2"/>
    <x v="3"/>
    <n v="1"/>
  </r>
  <r>
    <s v="EMP1395"/>
    <n v="26"/>
    <n v="1332374"/>
    <n v="2"/>
    <x v="1"/>
    <x v="0"/>
    <x v="1"/>
    <x v="4"/>
    <x v="0"/>
    <x v="2"/>
    <x v="1"/>
    <x v="0"/>
    <n v="0"/>
  </r>
  <r>
    <s v="EMP1396"/>
    <n v="37"/>
    <n v="1077611"/>
    <n v="10"/>
    <x v="0"/>
    <x v="3"/>
    <x v="2"/>
    <x v="5"/>
    <x v="1"/>
    <x v="1"/>
    <x v="1"/>
    <x v="1"/>
    <n v="1"/>
  </r>
  <r>
    <s v="EMP1397"/>
    <n v="34"/>
    <n v="1851082"/>
    <n v="7"/>
    <x v="1"/>
    <x v="2"/>
    <x v="1"/>
    <x v="6"/>
    <x v="1"/>
    <x v="1"/>
    <x v="2"/>
    <x v="1"/>
    <n v="0"/>
  </r>
  <r>
    <s v="EMP1398"/>
    <n v="28"/>
    <n v="717807"/>
    <n v="3"/>
    <x v="1"/>
    <x v="0"/>
    <x v="5"/>
    <x v="7"/>
    <x v="1"/>
    <x v="2"/>
    <x v="0"/>
    <x v="2"/>
    <n v="0"/>
  </r>
  <r>
    <s v="EMP1399"/>
    <n v="21"/>
    <n v="783655"/>
    <n v="0"/>
    <x v="0"/>
    <x v="2"/>
    <x v="4"/>
    <x v="3"/>
    <x v="0"/>
    <x v="0"/>
    <x v="0"/>
    <x v="0"/>
    <n v="1"/>
  </r>
  <r>
    <s v="EMP1400"/>
    <n v="26"/>
    <n v="761328"/>
    <n v="1"/>
    <x v="0"/>
    <x v="2"/>
    <x v="2"/>
    <x v="9"/>
    <x v="0"/>
    <x v="2"/>
    <x v="0"/>
    <x v="0"/>
    <n v="1"/>
  </r>
  <r>
    <s v="EMP1401"/>
    <n v="21"/>
    <n v="1233777"/>
    <n v="0"/>
    <x v="0"/>
    <x v="0"/>
    <x v="1"/>
    <x v="9"/>
    <x v="1"/>
    <x v="0"/>
    <x v="1"/>
    <x v="0"/>
    <n v="1"/>
  </r>
  <r>
    <s v="EMP1402"/>
    <n v="24"/>
    <n v="755137"/>
    <n v="1"/>
    <x v="1"/>
    <x v="0"/>
    <x v="0"/>
    <x v="7"/>
    <x v="1"/>
    <x v="0"/>
    <x v="0"/>
    <x v="0"/>
    <n v="0"/>
  </r>
  <r>
    <s v="EMP1403"/>
    <n v="23"/>
    <n v="1046652"/>
    <n v="0"/>
    <x v="1"/>
    <x v="1"/>
    <x v="4"/>
    <x v="2"/>
    <x v="0"/>
    <x v="0"/>
    <x v="1"/>
    <x v="0"/>
    <n v="0"/>
  </r>
  <r>
    <s v="EMP1404"/>
    <n v="36"/>
    <n v="891064"/>
    <n v="7"/>
    <x v="1"/>
    <x v="1"/>
    <x v="2"/>
    <x v="5"/>
    <x v="0"/>
    <x v="1"/>
    <x v="0"/>
    <x v="1"/>
    <n v="0"/>
  </r>
  <r>
    <s v="EMP1405"/>
    <n v="29"/>
    <n v="697645"/>
    <n v="7"/>
    <x v="0"/>
    <x v="1"/>
    <x v="6"/>
    <x v="2"/>
    <x v="0"/>
    <x v="2"/>
    <x v="0"/>
    <x v="1"/>
    <n v="1"/>
  </r>
  <r>
    <s v="EMP1406"/>
    <n v="21"/>
    <n v="1328836"/>
    <n v="0"/>
    <x v="1"/>
    <x v="0"/>
    <x v="1"/>
    <x v="8"/>
    <x v="0"/>
    <x v="0"/>
    <x v="1"/>
    <x v="0"/>
    <n v="0"/>
  </r>
  <r>
    <s v="EMP1407"/>
    <n v="25"/>
    <n v="1165721"/>
    <n v="3"/>
    <x v="1"/>
    <x v="2"/>
    <x v="1"/>
    <x v="0"/>
    <x v="0"/>
    <x v="2"/>
    <x v="1"/>
    <x v="2"/>
    <n v="0"/>
  </r>
  <r>
    <s v="EMP1408"/>
    <n v="26"/>
    <n v="1027848"/>
    <n v="0"/>
    <x v="0"/>
    <x v="0"/>
    <x v="7"/>
    <x v="7"/>
    <x v="0"/>
    <x v="2"/>
    <x v="1"/>
    <x v="0"/>
    <n v="1"/>
  </r>
  <r>
    <s v="EMP1409"/>
    <n v="34"/>
    <n v="1198584"/>
    <n v="8"/>
    <x v="1"/>
    <x v="1"/>
    <x v="0"/>
    <x v="2"/>
    <x v="0"/>
    <x v="1"/>
    <x v="1"/>
    <x v="1"/>
    <n v="0"/>
  </r>
  <r>
    <s v="EMP1410"/>
    <n v="27"/>
    <n v="1165608"/>
    <n v="4"/>
    <x v="1"/>
    <x v="0"/>
    <x v="4"/>
    <x v="3"/>
    <x v="0"/>
    <x v="2"/>
    <x v="1"/>
    <x v="2"/>
    <n v="0"/>
  </r>
  <r>
    <s v="EMP1411"/>
    <n v="37"/>
    <n v="1142942"/>
    <n v="8"/>
    <x v="1"/>
    <x v="1"/>
    <x v="5"/>
    <x v="6"/>
    <x v="0"/>
    <x v="1"/>
    <x v="1"/>
    <x v="1"/>
    <n v="0"/>
  </r>
  <r>
    <s v="EMP1412"/>
    <n v="26"/>
    <n v="1153691"/>
    <n v="0"/>
    <x v="1"/>
    <x v="0"/>
    <x v="1"/>
    <x v="6"/>
    <x v="0"/>
    <x v="2"/>
    <x v="1"/>
    <x v="0"/>
    <n v="0"/>
  </r>
  <r>
    <s v="EMP1413"/>
    <n v="40"/>
    <n v="1151057"/>
    <n v="9"/>
    <x v="1"/>
    <x v="0"/>
    <x v="0"/>
    <x v="1"/>
    <x v="1"/>
    <x v="3"/>
    <x v="1"/>
    <x v="1"/>
    <n v="0"/>
  </r>
  <r>
    <s v="EMP1414"/>
    <n v="24"/>
    <n v="1330361"/>
    <n v="3"/>
    <x v="1"/>
    <x v="0"/>
    <x v="5"/>
    <x v="3"/>
    <x v="1"/>
    <x v="0"/>
    <x v="1"/>
    <x v="2"/>
    <n v="0"/>
  </r>
  <r>
    <s v="EMP1415"/>
    <n v="21"/>
    <n v="772426"/>
    <n v="0"/>
    <x v="0"/>
    <x v="0"/>
    <x v="5"/>
    <x v="5"/>
    <x v="1"/>
    <x v="0"/>
    <x v="0"/>
    <x v="0"/>
    <n v="1"/>
  </r>
  <r>
    <s v="EMP1416"/>
    <n v="25"/>
    <n v="663143"/>
    <n v="0"/>
    <x v="0"/>
    <x v="1"/>
    <x v="4"/>
    <x v="4"/>
    <x v="0"/>
    <x v="2"/>
    <x v="0"/>
    <x v="0"/>
    <n v="1"/>
  </r>
  <r>
    <s v="EMP1417"/>
    <n v="37"/>
    <n v="1451046"/>
    <n v="9"/>
    <x v="1"/>
    <x v="0"/>
    <x v="7"/>
    <x v="1"/>
    <x v="1"/>
    <x v="1"/>
    <x v="1"/>
    <x v="1"/>
    <n v="0"/>
  </r>
  <r>
    <s v="EMP1418"/>
    <n v="32"/>
    <n v="1467701"/>
    <n v="6"/>
    <x v="1"/>
    <x v="0"/>
    <x v="3"/>
    <x v="3"/>
    <x v="0"/>
    <x v="1"/>
    <x v="1"/>
    <x v="1"/>
    <n v="0"/>
  </r>
  <r>
    <s v="EMP1419"/>
    <n v="34"/>
    <n v="949213"/>
    <n v="8"/>
    <x v="1"/>
    <x v="0"/>
    <x v="2"/>
    <x v="2"/>
    <x v="0"/>
    <x v="1"/>
    <x v="0"/>
    <x v="1"/>
    <n v="0"/>
  </r>
  <r>
    <s v="EMP1420"/>
    <n v="39"/>
    <n v="1247340"/>
    <n v="8"/>
    <x v="1"/>
    <x v="0"/>
    <x v="7"/>
    <x v="2"/>
    <x v="0"/>
    <x v="1"/>
    <x v="1"/>
    <x v="1"/>
    <n v="0"/>
  </r>
  <r>
    <s v="EMP1421"/>
    <n v="28"/>
    <n v="1076413"/>
    <n v="0"/>
    <x v="1"/>
    <x v="3"/>
    <x v="3"/>
    <x v="6"/>
    <x v="1"/>
    <x v="2"/>
    <x v="1"/>
    <x v="0"/>
    <n v="0"/>
  </r>
  <r>
    <s v="EMP1422"/>
    <n v="34"/>
    <n v="1123257"/>
    <n v="6"/>
    <x v="1"/>
    <x v="1"/>
    <x v="1"/>
    <x v="2"/>
    <x v="0"/>
    <x v="1"/>
    <x v="1"/>
    <x v="1"/>
    <n v="0"/>
  </r>
  <r>
    <s v="EMP1423"/>
    <n v="35"/>
    <n v="1112190"/>
    <n v="9"/>
    <x v="1"/>
    <x v="0"/>
    <x v="5"/>
    <x v="9"/>
    <x v="1"/>
    <x v="1"/>
    <x v="1"/>
    <x v="1"/>
    <n v="0"/>
  </r>
  <r>
    <s v="EMP1424"/>
    <n v="24"/>
    <n v="535433"/>
    <n v="3"/>
    <x v="0"/>
    <x v="2"/>
    <x v="2"/>
    <x v="9"/>
    <x v="1"/>
    <x v="0"/>
    <x v="0"/>
    <x v="2"/>
    <n v="1"/>
  </r>
  <r>
    <s v="EMP1425"/>
    <n v="33"/>
    <n v="1065230"/>
    <n v="11"/>
    <x v="1"/>
    <x v="0"/>
    <x v="2"/>
    <x v="7"/>
    <x v="0"/>
    <x v="1"/>
    <x v="1"/>
    <x v="3"/>
    <n v="0"/>
  </r>
  <r>
    <s v="EMP1426"/>
    <n v="21"/>
    <n v="609517"/>
    <n v="0"/>
    <x v="1"/>
    <x v="0"/>
    <x v="2"/>
    <x v="2"/>
    <x v="0"/>
    <x v="0"/>
    <x v="0"/>
    <x v="0"/>
    <n v="0"/>
  </r>
  <r>
    <s v="EMP1427"/>
    <n v="45"/>
    <n v="1242004"/>
    <n v="15"/>
    <x v="1"/>
    <x v="2"/>
    <x v="6"/>
    <x v="0"/>
    <x v="1"/>
    <x v="3"/>
    <x v="1"/>
    <x v="3"/>
    <n v="0"/>
  </r>
  <r>
    <s v="EMP1428"/>
    <n v="35"/>
    <n v="1506190"/>
    <n v="12"/>
    <x v="0"/>
    <x v="0"/>
    <x v="5"/>
    <x v="2"/>
    <x v="0"/>
    <x v="1"/>
    <x v="2"/>
    <x v="3"/>
    <n v="1"/>
  </r>
  <r>
    <s v="EMP1429"/>
    <n v="21"/>
    <n v="1044062"/>
    <n v="0"/>
    <x v="0"/>
    <x v="0"/>
    <x v="3"/>
    <x v="2"/>
    <x v="0"/>
    <x v="0"/>
    <x v="1"/>
    <x v="0"/>
    <n v="1"/>
  </r>
  <r>
    <s v="EMP1430"/>
    <n v="35"/>
    <n v="1302391"/>
    <n v="6"/>
    <x v="1"/>
    <x v="0"/>
    <x v="2"/>
    <x v="8"/>
    <x v="0"/>
    <x v="1"/>
    <x v="1"/>
    <x v="1"/>
    <n v="0"/>
  </r>
  <r>
    <s v="EMP1431"/>
    <n v="35"/>
    <n v="1621320"/>
    <n v="9"/>
    <x v="1"/>
    <x v="0"/>
    <x v="1"/>
    <x v="7"/>
    <x v="0"/>
    <x v="1"/>
    <x v="2"/>
    <x v="1"/>
    <n v="0"/>
  </r>
  <r>
    <s v="EMP1432"/>
    <n v="28"/>
    <n v="422105"/>
    <n v="0"/>
    <x v="1"/>
    <x v="0"/>
    <x v="6"/>
    <x v="7"/>
    <x v="0"/>
    <x v="2"/>
    <x v="3"/>
    <x v="0"/>
    <n v="0"/>
  </r>
  <r>
    <s v="EMP1433"/>
    <n v="26"/>
    <n v="480246"/>
    <n v="0"/>
    <x v="0"/>
    <x v="4"/>
    <x v="2"/>
    <x v="0"/>
    <x v="1"/>
    <x v="2"/>
    <x v="3"/>
    <x v="0"/>
    <n v="1"/>
  </r>
  <r>
    <s v="EMP1434"/>
    <n v="45"/>
    <n v="1786593"/>
    <n v="14"/>
    <x v="0"/>
    <x v="0"/>
    <x v="3"/>
    <x v="5"/>
    <x v="0"/>
    <x v="3"/>
    <x v="2"/>
    <x v="3"/>
    <n v="1"/>
  </r>
  <r>
    <s v="EMP1435"/>
    <n v="33"/>
    <n v="1135519"/>
    <n v="3"/>
    <x v="1"/>
    <x v="0"/>
    <x v="3"/>
    <x v="1"/>
    <x v="0"/>
    <x v="1"/>
    <x v="1"/>
    <x v="2"/>
    <n v="0"/>
  </r>
  <r>
    <s v="EMP1436"/>
    <n v="27"/>
    <n v="857752"/>
    <n v="4"/>
    <x v="1"/>
    <x v="2"/>
    <x v="7"/>
    <x v="0"/>
    <x v="1"/>
    <x v="2"/>
    <x v="0"/>
    <x v="2"/>
    <n v="0"/>
  </r>
  <r>
    <s v="EMP1437"/>
    <n v="40"/>
    <n v="1246066"/>
    <n v="14"/>
    <x v="0"/>
    <x v="1"/>
    <x v="5"/>
    <x v="5"/>
    <x v="0"/>
    <x v="3"/>
    <x v="1"/>
    <x v="3"/>
    <n v="1"/>
  </r>
  <r>
    <s v="EMP1438"/>
    <n v="29"/>
    <n v="1211443"/>
    <n v="0"/>
    <x v="1"/>
    <x v="3"/>
    <x v="1"/>
    <x v="7"/>
    <x v="0"/>
    <x v="2"/>
    <x v="1"/>
    <x v="0"/>
    <n v="0"/>
  </r>
  <r>
    <s v="EMP1439"/>
    <n v="41"/>
    <n v="1524086"/>
    <n v="15"/>
    <x v="1"/>
    <x v="0"/>
    <x v="7"/>
    <x v="5"/>
    <x v="1"/>
    <x v="3"/>
    <x v="2"/>
    <x v="3"/>
    <n v="0"/>
  </r>
  <r>
    <s v="EMP1440"/>
    <n v="34"/>
    <n v="1505132"/>
    <n v="7"/>
    <x v="1"/>
    <x v="0"/>
    <x v="1"/>
    <x v="5"/>
    <x v="1"/>
    <x v="1"/>
    <x v="2"/>
    <x v="1"/>
    <n v="0"/>
  </r>
  <r>
    <s v="EMP1441"/>
    <n v="36"/>
    <n v="1513064"/>
    <n v="6"/>
    <x v="0"/>
    <x v="0"/>
    <x v="1"/>
    <x v="9"/>
    <x v="1"/>
    <x v="1"/>
    <x v="2"/>
    <x v="1"/>
    <n v="1"/>
  </r>
  <r>
    <s v="EMP1442"/>
    <n v="21"/>
    <n v="587764"/>
    <n v="0"/>
    <x v="1"/>
    <x v="0"/>
    <x v="4"/>
    <x v="1"/>
    <x v="0"/>
    <x v="0"/>
    <x v="0"/>
    <x v="0"/>
    <n v="0"/>
  </r>
  <r>
    <s v="EMP1443"/>
    <n v="41"/>
    <n v="861609"/>
    <n v="9"/>
    <x v="1"/>
    <x v="0"/>
    <x v="2"/>
    <x v="5"/>
    <x v="1"/>
    <x v="3"/>
    <x v="0"/>
    <x v="1"/>
    <n v="0"/>
  </r>
  <r>
    <s v="EMP1444"/>
    <n v="29"/>
    <n v="621515"/>
    <n v="0"/>
    <x v="0"/>
    <x v="0"/>
    <x v="2"/>
    <x v="7"/>
    <x v="0"/>
    <x v="2"/>
    <x v="0"/>
    <x v="0"/>
    <n v="1"/>
  </r>
  <r>
    <s v="EMP1445"/>
    <n v="42"/>
    <n v="899357"/>
    <n v="10"/>
    <x v="1"/>
    <x v="4"/>
    <x v="6"/>
    <x v="1"/>
    <x v="0"/>
    <x v="3"/>
    <x v="0"/>
    <x v="1"/>
    <n v="0"/>
  </r>
  <r>
    <s v="EMP1446"/>
    <n v="30"/>
    <n v="829904"/>
    <n v="3"/>
    <x v="1"/>
    <x v="3"/>
    <x v="5"/>
    <x v="8"/>
    <x v="1"/>
    <x v="1"/>
    <x v="0"/>
    <x v="2"/>
    <n v="0"/>
  </r>
  <r>
    <s v="EMP1447"/>
    <n v="27"/>
    <n v="777711"/>
    <n v="2"/>
    <x v="0"/>
    <x v="0"/>
    <x v="5"/>
    <x v="2"/>
    <x v="0"/>
    <x v="2"/>
    <x v="0"/>
    <x v="0"/>
    <n v="1"/>
  </r>
  <r>
    <s v="EMP1448"/>
    <n v="31"/>
    <n v="1334118"/>
    <n v="5"/>
    <x v="1"/>
    <x v="3"/>
    <x v="1"/>
    <x v="5"/>
    <x v="1"/>
    <x v="1"/>
    <x v="1"/>
    <x v="2"/>
    <n v="0"/>
  </r>
  <r>
    <s v="EMP1449"/>
    <n v="24"/>
    <n v="508280"/>
    <n v="3"/>
    <x v="1"/>
    <x v="0"/>
    <x v="6"/>
    <x v="7"/>
    <x v="0"/>
    <x v="0"/>
    <x v="0"/>
    <x v="2"/>
    <n v="0"/>
  </r>
  <r>
    <s v="EMP1450"/>
    <n v="32"/>
    <n v="545904"/>
    <n v="3"/>
    <x v="1"/>
    <x v="2"/>
    <x v="6"/>
    <x v="7"/>
    <x v="1"/>
    <x v="1"/>
    <x v="0"/>
    <x v="2"/>
    <n v="0"/>
  </r>
  <r>
    <s v="EMP1451"/>
    <n v="36"/>
    <n v="771104"/>
    <n v="5"/>
    <x v="1"/>
    <x v="0"/>
    <x v="5"/>
    <x v="1"/>
    <x v="0"/>
    <x v="1"/>
    <x v="0"/>
    <x v="2"/>
    <n v="0"/>
  </r>
  <r>
    <s v="EMP1452"/>
    <n v="27"/>
    <n v="848186"/>
    <n v="6"/>
    <x v="0"/>
    <x v="2"/>
    <x v="4"/>
    <x v="7"/>
    <x v="0"/>
    <x v="2"/>
    <x v="0"/>
    <x v="1"/>
    <n v="1"/>
  </r>
  <r>
    <s v="EMP1453"/>
    <n v="43"/>
    <n v="1076101"/>
    <n v="9"/>
    <x v="1"/>
    <x v="2"/>
    <x v="5"/>
    <x v="8"/>
    <x v="0"/>
    <x v="3"/>
    <x v="1"/>
    <x v="1"/>
    <n v="0"/>
  </r>
  <r>
    <s v="EMP1454"/>
    <n v="25"/>
    <n v="502280"/>
    <n v="0"/>
    <x v="1"/>
    <x v="0"/>
    <x v="7"/>
    <x v="9"/>
    <x v="0"/>
    <x v="2"/>
    <x v="0"/>
    <x v="0"/>
    <n v="0"/>
  </r>
  <r>
    <s v="EMP1455"/>
    <n v="29"/>
    <n v="1191128"/>
    <n v="7"/>
    <x v="0"/>
    <x v="0"/>
    <x v="0"/>
    <x v="6"/>
    <x v="1"/>
    <x v="2"/>
    <x v="1"/>
    <x v="1"/>
    <n v="1"/>
  </r>
  <r>
    <s v="EMP1456"/>
    <n v="24"/>
    <n v="729665"/>
    <n v="3"/>
    <x v="1"/>
    <x v="0"/>
    <x v="6"/>
    <x v="6"/>
    <x v="1"/>
    <x v="0"/>
    <x v="0"/>
    <x v="2"/>
    <n v="0"/>
  </r>
  <r>
    <s v="EMP1457"/>
    <n v="21"/>
    <n v="1296024"/>
    <n v="0"/>
    <x v="1"/>
    <x v="0"/>
    <x v="1"/>
    <x v="3"/>
    <x v="0"/>
    <x v="0"/>
    <x v="1"/>
    <x v="0"/>
    <n v="0"/>
  </r>
  <r>
    <s v="EMP1458"/>
    <n v="35"/>
    <n v="994070"/>
    <n v="4"/>
    <x v="0"/>
    <x v="1"/>
    <x v="4"/>
    <x v="9"/>
    <x v="0"/>
    <x v="1"/>
    <x v="0"/>
    <x v="2"/>
    <n v="1"/>
  </r>
  <r>
    <s v="EMP1459"/>
    <n v="28"/>
    <n v="1938593"/>
    <n v="6"/>
    <x v="1"/>
    <x v="0"/>
    <x v="1"/>
    <x v="0"/>
    <x v="0"/>
    <x v="2"/>
    <x v="2"/>
    <x v="1"/>
    <n v="0"/>
  </r>
  <r>
    <s v="EMP1460"/>
    <n v="38"/>
    <n v="929933"/>
    <n v="7"/>
    <x v="1"/>
    <x v="0"/>
    <x v="4"/>
    <x v="5"/>
    <x v="0"/>
    <x v="1"/>
    <x v="0"/>
    <x v="1"/>
    <n v="0"/>
  </r>
  <r>
    <s v="EMP1461"/>
    <n v="39"/>
    <n v="1366244"/>
    <n v="10"/>
    <x v="1"/>
    <x v="1"/>
    <x v="5"/>
    <x v="8"/>
    <x v="0"/>
    <x v="1"/>
    <x v="1"/>
    <x v="1"/>
    <n v="0"/>
  </r>
  <r>
    <s v="EMP1462"/>
    <n v="21"/>
    <n v="1072027"/>
    <n v="0"/>
    <x v="1"/>
    <x v="0"/>
    <x v="1"/>
    <x v="3"/>
    <x v="0"/>
    <x v="0"/>
    <x v="1"/>
    <x v="0"/>
    <n v="0"/>
  </r>
  <r>
    <s v="EMP1463"/>
    <n v="43"/>
    <n v="1895167"/>
    <n v="17"/>
    <x v="1"/>
    <x v="0"/>
    <x v="1"/>
    <x v="4"/>
    <x v="1"/>
    <x v="3"/>
    <x v="2"/>
    <x v="3"/>
    <n v="0"/>
  </r>
  <r>
    <s v="EMP1464"/>
    <n v="26"/>
    <n v="684015"/>
    <n v="4"/>
    <x v="1"/>
    <x v="0"/>
    <x v="2"/>
    <x v="3"/>
    <x v="0"/>
    <x v="2"/>
    <x v="0"/>
    <x v="2"/>
    <n v="0"/>
  </r>
  <r>
    <s v="EMP1465"/>
    <n v="40"/>
    <n v="1818738"/>
    <n v="13"/>
    <x v="1"/>
    <x v="0"/>
    <x v="3"/>
    <x v="9"/>
    <x v="1"/>
    <x v="3"/>
    <x v="2"/>
    <x v="3"/>
    <n v="0"/>
  </r>
  <r>
    <s v="EMP1466"/>
    <n v="24"/>
    <n v="1288048"/>
    <n v="0"/>
    <x v="0"/>
    <x v="0"/>
    <x v="1"/>
    <x v="8"/>
    <x v="0"/>
    <x v="0"/>
    <x v="1"/>
    <x v="0"/>
    <n v="1"/>
  </r>
  <r>
    <s v="EMP1467"/>
    <n v="26"/>
    <n v="901020"/>
    <n v="3"/>
    <x v="1"/>
    <x v="4"/>
    <x v="7"/>
    <x v="0"/>
    <x v="0"/>
    <x v="2"/>
    <x v="0"/>
    <x v="2"/>
    <n v="0"/>
  </r>
  <r>
    <s v="EMP1468"/>
    <n v="33"/>
    <n v="1707086"/>
    <n v="10"/>
    <x v="0"/>
    <x v="0"/>
    <x v="3"/>
    <x v="3"/>
    <x v="0"/>
    <x v="1"/>
    <x v="2"/>
    <x v="1"/>
    <n v="1"/>
  </r>
  <r>
    <s v="EMP1469"/>
    <n v="41"/>
    <n v="944540"/>
    <n v="6"/>
    <x v="0"/>
    <x v="2"/>
    <x v="7"/>
    <x v="0"/>
    <x v="0"/>
    <x v="3"/>
    <x v="0"/>
    <x v="1"/>
    <n v="1"/>
  </r>
  <r>
    <s v="EMP1470"/>
    <n v="27"/>
    <n v="426097"/>
    <n v="6"/>
    <x v="1"/>
    <x v="0"/>
    <x v="6"/>
    <x v="4"/>
    <x v="1"/>
    <x v="2"/>
    <x v="3"/>
    <x v="1"/>
    <n v="0"/>
  </r>
  <r>
    <s v="EMP1471"/>
    <n v="26"/>
    <n v="1111193"/>
    <n v="0"/>
    <x v="0"/>
    <x v="0"/>
    <x v="1"/>
    <x v="4"/>
    <x v="0"/>
    <x v="2"/>
    <x v="1"/>
    <x v="0"/>
    <n v="1"/>
  </r>
  <r>
    <s v="EMP1472"/>
    <n v="29"/>
    <n v="1235523"/>
    <n v="7"/>
    <x v="1"/>
    <x v="0"/>
    <x v="4"/>
    <x v="1"/>
    <x v="0"/>
    <x v="2"/>
    <x v="1"/>
    <x v="1"/>
    <n v="0"/>
  </r>
  <r>
    <s v="EMP1473"/>
    <n v="28"/>
    <n v="973355"/>
    <n v="0"/>
    <x v="0"/>
    <x v="3"/>
    <x v="1"/>
    <x v="6"/>
    <x v="1"/>
    <x v="2"/>
    <x v="0"/>
    <x v="0"/>
    <n v="1"/>
  </r>
  <r>
    <s v="EMP1474"/>
    <n v="30"/>
    <n v="1368803"/>
    <n v="8"/>
    <x v="1"/>
    <x v="2"/>
    <x v="0"/>
    <x v="3"/>
    <x v="0"/>
    <x v="1"/>
    <x v="1"/>
    <x v="1"/>
    <n v="0"/>
  </r>
  <r>
    <s v="EMP1475"/>
    <n v="36"/>
    <n v="882377"/>
    <n v="4"/>
    <x v="1"/>
    <x v="0"/>
    <x v="6"/>
    <x v="6"/>
    <x v="0"/>
    <x v="1"/>
    <x v="0"/>
    <x v="2"/>
    <n v="0"/>
  </r>
  <r>
    <s v="EMP1476"/>
    <n v="31"/>
    <n v="1479666"/>
    <n v="10"/>
    <x v="1"/>
    <x v="0"/>
    <x v="7"/>
    <x v="1"/>
    <x v="1"/>
    <x v="1"/>
    <x v="1"/>
    <x v="1"/>
    <n v="0"/>
  </r>
  <r>
    <s v="EMP1477"/>
    <n v="21"/>
    <n v="396323"/>
    <n v="0"/>
    <x v="1"/>
    <x v="1"/>
    <x v="6"/>
    <x v="5"/>
    <x v="1"/>
    <x v="0"/>
    <x v="3"/>
    <x v="0"/>
    <n v="0"/>
  </r>
  <r>
    <s v="EMP1478"/>
    <n v="30"/>
    <n v="786562"/>
    <n v="2"/>
    <x v="1"/>
    <x v="0"/>
    <x v="4"/>
    <x v="8"/>
    <x v="0"/>
    <x v="1"/>
    <x v="0"/>
    <x v="0"/>
    <n v="0"/>
  </r>
  <r>
    <s v="EMP1479"/>
    <n v="33"/>
    <n v="1068675"/>
    <n v="3"/>
    <x v="1"/>
    <x v="0"/>
    <x v="3"/>
    <x v="8"/>
    <x v="0"/>
    <x v="1"/>
    <x v="1"/>
    <x v="2"/>
    <n v="0"/>
  </r>
  <r>
    <s v="EMP1480"/>
    <n v="28"/>
    <n v="988139"/>
    <n v="0"/>
    <x v="1"/>
    <x v="0"/>
    <x v="0"/>
    <x v="8"/>
    <x v="1"/>
    <x v="2"/>
    <x v="0"/>
    <x v="0"/>
    <n v="0"/>
  </r>
  <r>
    <s v="EMP1481"/>
    <n v="45"/>
    <n v="1095527"/>
    <n v="10"/>
    <x v="1"/>
    <x v="3"/>
    <x v="5"/>
    <x v="7"/>
    <x v="1"/>
    <x v="3"/>
    <x v="1"/>
    <x v="1"/>
    <n v="0"/>
  </r>
  <r>
    <s v="EMP1482"/>
    <n v="35"/>
    <n v="1272647"/>
    <n v="12"/>
    <x v="1"/>
    <x v="2"/>
    <x v="7"/>
    <x v="6"/>
    <x v="0"/>
    <x v="1"/>
    <x v="1"/>
    <x v="3"/>
    <n v="0"/>
  </r>
  <r>
    <s v="EMP1483"/>
    <n v="26"/>
    <n v="989628"/>
    <n v="4"/>
    <x v="1"/>
    <x v="0"/>
    <x v="5"/>
    <x v="0"/>
    <x v="0"/>
    <x v="2"/>
    <x v="0"/>
    <x v="2"/>
    <n v="0"/>
  </r>
  <r>
    <s v="EMP1484"/>
    <n v="33"/>
    <n v="1499532"/>
    <n v="4"/>
    <x v="1"/>
    <x v="0"/>
    <x v="1"/>
    <x v="9"/>
    <x v="1"/>
    <x v="1"/>
    <x v="1"/>
    <x v="2"/>
    <n v="0"/>
  </r>
  <r>
    <s v="EMP1485"/>
    <n v="30"/>
    <n v="1265722"/>
    <n v="1"/>
    <x v="1"/>
    <x v="2"/>
    <x v="1"/>
    <x v="9"/>
    <x v="0"/>
    <x v="1"/>
    <x v="1"/>
    <x v="0"/>
    <n v="0"/>
  </r>
  <r>
    <s v="EMP1486"/>
    <n v="34"/>
    <n v="861278"/>
    <n v="8"/>
    <x v="1"/>
    <x v="2"/>
    <x v="2"/>
    <x v="0"/>
    <x v="1"/>
    <x v="1"/>
    <x v="0"/>
    <x v="1"/>
    <n v="0"/>
  </r>
  <r>
    <s v="EMP1487"/>
    <n v="35"/>
    <n v="1304018"/>
    <n v="5"/>
    <x v="1"/>
    <x v="1"/>
    <x v="5"/>
    <x v="5"/>
    <x v="1"/>
    <x v="1"/>
    <x v="1"/>
    <x v="2"/>
    <n v="0"/>
  </r>
  <r>
    <s v="EMP1488"/>
    <n v="35"/>
    <n v="1166723"/>
    <n v="5"/>
    <x v="0"/>
    <x v="0"/>
    <x v="7"/>
    <x v="4"/>
    <x v="0"/>
    <x v="1"/>
    <x v="1"/>
    <x v="2"/>
    <n v="1"/>
  </r>
  <r>
    <s v="EMP1489"/>
    <n v="30"/>
    <n v="1136825"/>
    <n v="7"/>
    <x v="1"/>
    <x v="0"/>
    <x v="2"/>
    <x v="0"/>
    <x v="1"/>
    <x v="1"/>
    <x v="1"/>
    <x v="1"/>
    <n v="0"/>
  </r>
  <r>
    <s v="EMP1490"/>
    <n v="40"/>
    <n v="1214119"/>
    <n v="11"/>
    <x v="1"/>
    <x v="0"/>
    <x v="4"/>
    <x v="3"/>
    <x v="0"/>
    <x v="3"/>
    <x v="1"/>
    <x v="3"/>
    <n v="0"/>
  </r>
  <r>
    <s v="EMP1491"/>
    <n v="22"/>
    <n v="1141035"/>
    <n v="1"/>
    <x v="0"/>
    <x v="0"/>
    <x v="1"/>
    <x v="9"/>
    <x v="0"/>
    <x v="0"/>
    <x v="1"/>
    <x v="0"/>
    <n v="1"/>
  </r>
  <r>
    <s v="EMP1492"/>
    <n v="35"/>
    <n v="1282553"/>
    <n v="7"/>
    <x v="1"/>
    <x v="0"/>
    <x v="0"/>
    <x v="8"/>
    <x v="1"/>
    <x v="1"/>
    <x v="1"/>
    <x v="1"/>
    <n v="0"/>
  </r>
  <r>
    <s v="EMP1493"/>
    <n v="34"/>
    <n v="882200"/>
    <n v="0"/>
    <x v="0"/>
    <x v="0"/>
    <x v="1"/>
    <x v="4"/>
    <x v="0"/>
    <x v="1"/>
    <x v="0"/>
    <x v="0"/>
    <n v="1"/>
  </r>
  <r>
    <s v="EMP1494"/>
    <n v="33"/>
    <n v="1260755"/>
    <n v="11"/>
    <x v="0"/>
    <x v="3"/>
    <x v="6"/>
    <x v="0"/>
    <x v="0"/>
    <x v="1"/>
    <x v="1"/>
    <x v="3"/>
    <n v="1"/>
  </r>
  <r>
    <s v="EMP1495"/>
    <n v="46"/>
    <n v="1111080"/>
    <n v="15"/>
    <x v="0"/>
    <x v="2"/>
    <x v="5"/>
    <x v="7"/>
    <x v="0"/>
    <x v="3"/>
    <x v="1"/>
    <x v="3"/>
    <n v="1"/>
  </r>
  <r>
    <s v="EMP1496"/>
    <n v="37"/>
    <n v="1057045"/>
    <n v="8"/>
    <x v="1"/>
    <x v="3"/>
    <x v="2"/>
    <x v="1"/>
    <x v="0"/>
    <x v="1"/>
    <x v="1"/>
    <x v="1"/>
    <n v="0"/>
  </r>
  <r>
    <s v="EMP1497"/>
    <n v="29"/>
    <n v="1057283"/>
    <n v="1"/>
    <x v="1"/>
    <x v="0"/>
    <x v="1"/>
    <x v="3"/>
    <x v="1"/>
    <x v="2"/>
    <x v="1"/>
    <x v="0"/>
    <n v="0"/>
  </r>
  <r>
    <s v="EMP1498"/>
    <n v="44"/>
    <n v="1348630"/>
    <n v="9"/>
    <x v="1"/>
    <x v="0"/>
    <x v="0"/>
    <x v="4"/>
    <x v="0"/>
    <x v="3"/>
    <x v="1"/>
    <x v="1"/>
    <n v="0"/>
  </r>
  <r>
    <s v="EMP1499"/>
    <n v="22"/>
    <n v="855867"/>
    <n v="0"/>
    <x v="1"/>
    <x v="0"/>
    <x v="0"/>
    <x v="2"/>
    <x v="0"/>
    <x v="0"/>
    <x v="0"/>
    <x v="0"/>
    <n v="0"/>
  </r>
  <r>
    <s v="EMP1500"/>
    <n v="39"/>
    <n v="972899"/>
    <n v="9"/>
    <x v="1"/>
    <x v="3"/>
    <x v="2"/>
    <x v="3"/>
    <x v="1"/>
    <x v="1"/>
    <x v="0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1A541-F874-460E-BCCD-A5D8F73C18C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17" firstHeaderRow="1" firstDataRow="1" firstDataCol="1"/>
  <pivotFields count="13"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9">
        <item x="6"/>
        <item x="0"/>
        <item x="5"/>
        <item x="1"/>
        <item x="7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alary" fld="2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464A-15A1-4767-A936-02B0A59E962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2:J33" firstHeaderRow="1" firstDataRow="1" firstDataCol="1" rowPageCount="1" colPageCount="1"/>
  <pivotFields count="13"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showAll="0">
      <items count="11">
        <item x="4"/>
        <item x="2"/>
        <item x="8"/>
        <item x="9"/>
        <item x="5"/>
        <item x="6"/>
        <item x="3"/>
        <item x="1"/>
        <item x="7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" item="1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734CA-E0C9-4602-A37B-0D8AD880023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9:F12" firstHeaderRow="1" firstDataRow="1" firstDataCol="1" rowPageCount="1" colPageCount="1"/>
  <pivotFields count="13"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pageFields count="1">
    <pageField fld="4" item="1" hier="-1"/>
  </pageFields>
  <dataFields count="1">
    <dataField name="Count of Employee ID" fld="0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46671-9E20-45BF-BE50-DDCFCF0D4A1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3:B39" firstHeaderRow="1" firstDataRow="1" firstDataCol="1" rowPageCount="1" colPageCount="1"/>
  <pivotFields count="13"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" item="1" hier="-1"/>
  </pageFields>
  <dataFields count="1">
    <dataField name="Count of Employee 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F42EB-3A58-45E4-81CA-900D122CD1B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7:F22" firstHeaderRow="1" firstDataRow="1" firstDataCol="1" rowPageCount="1" colPageCount="1"/>
  <pivotFields count="13"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item="1" hier="-1"/>
  </pageFields>
  <dataFields count="1">
    <dataField name="Count of Employee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6EEB8-88EF-42E6-89F2-25228A5BDDB6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7:F32" firstHeaderRow="1" firstDataRow="1" firstDataCol="1" rowPageCount="1" colPageCount="1"/>
  <pivotFields count="13"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3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item="1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891C7-BB72-4CFC-A429-77C2F733083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2:B28" firstHeaderRow="1" firstDataRow="1" firstDataCol="1" rowPageCount="1" colPageCount="1"/>
  <pivotFields count="13"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" item="1" hier="-1"/>
  </pageFields>
  <dataFields count="1">
    <dataField name="Count of Employee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2E0FB-1FC3-4016-B628-4191B5A739F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:B18" firstHeaderRow="1" firstDataRow="1" firstDataCol="1" rowPageCount="1" colPageCount="1"/>
  <pivotFields count="13"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axis="axisRow" showAll="0">
      <items count="9">
        <item x="6"/>
        <item x="0"/>
        <item x="5"/>
        <item x="1"/>
        <item x="7"/>
        <item x="4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4" item="1" hier="-1"/>
  </pageFields>
  <dataFields count="1">
    <dataField name="Count of Employee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A08C-544E-4F7A-B6E5-69BA9487FF24}">
  <dimension ref="A1:L501"/>
  <sheetViews>
    <sheetView workbookViewId="0">
      <selection activeCell="Y38" sqref="Y38"/>
    </sheetView>
  </sheetViews>
  <sheetFormatPr defaultRowHeight="15" x14ac:dyDescent="0.25"/>
  <cols>
    <col min="1" max="1" width="12.140625" bestFit="1" customWidth="1"/>
    <col min="2" max="2" width="16.42578125" bestFit="1" customWidth="1"/>
    <col min="3" max="3" width="4.42578125" bestFit="1" customWidth="1"/>
    <col min="4" max="4" width="7.5703125" bestFit="1" customWidth="1"/>
    <col min="5" max="5" width="11.7109375" bestFit="1" customWidth="1"/>
    <col min="6" max="6" width="23.85546875" bestFit="1" customWidth="1"/>
    <col min="7" max="7" width="31" bestFit="1" customWidth="1"/>
    <col min="8" max="8" width="8" bestFit="1" customWidth="1"/>
    <col min="9" max="9" width="16.140625" bestFit="1" customWidth="1"/>
    <col min="10" max="10" width="17" bestFit="1" customWidth="1"/>
    <col min="11" max="11" width="8.5703125" bestFit="1" customWidth="1"/>
    <col min="12" max="12" width="18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24</v>
      </c>
      <c r="D2" t="s">
        <v>14</v>
      </c>
      <c r="E2" t="s">
        <v>15</v>
      </c>
      <c r="F2" t="s">
        <v>16</v>
      </c>
      <c r="G2" t="s">
        <v>17</v>
      </c>
      <c r="H2">
        <v>915113</v>
      </c>
      <c r="I2">
        <v>2</v>
      </c>
      <c r="J2" t="s">
        <v>18</v>
      </c>
      <c r="K2" t="s">
        <v>19</v>
      </c>
      <c r="L2">
        <v>3</v>
      </c>
    </row>
    <row r="3" spans="1:12" x14ac:dyDescent="0.25">
      <c r="A3" t="s">
        <v>20</v>
      </c>
      <c r="B3" t="s">
        <v>21</v>
      </c>
      <c r="C3">
        <v>39</v>
      </c>
      <c r="D3" t="s">
        <v>22</v>
      </c>
      <c r="E3" t="s">
        <v>23</v>
      </c>
      <c r="F3" t="s">
        <v>16</v>
      </c>
      <c r="G3" t="s">
        <v>24</v>
      </c>
      <c r="H3">
        <v>1058830</v>
      </c>
      <c r="I3">
        <v>8</v>
      </c>
      <c r="J3" t="s">
        <v>18</v>
      </c>
      <c r="K3" t="s">
        <v>25</v>
      </c>
      <c r="L3">
        <v>3</v>
      </c>
    </row>
    <row r="4" spans="1:12" x14ac:dyDescent="0.25">
      <c r="A4" t="s">
        <v>26</v>
      </c>
      <c r="B4" t="s">
        <v>27</v>
      </c>
      <c r="C4">
        <v>37</v>
      </c>
      <c r="D4" t="s">
        <v>14</v>
      </c>
      <c r="E4" t="s">
        <v>28</v>
      </c>
      <c r="F4" t="s">
        <v>16</v>
      </c>
      <c r="G4" t="s">
        <v>17</v>
      </c>
      <c r="H4">
        <v>916699</v>
      </c>
      <c r="I4">
        <v>4</v>
      </c>
      <c r="J4" t="s">
        <v>18</v>
      </c>
      <c r="K4" t="s">
        <v>25</v>
      </c>
      <c r="L4">
        <v>4</v>
      </c>
    </row>
    <row r="5" spans="1:12" x14ac:dyDescent="0.25">
      <c r="A5" t="s">
        <v>29</v>
      </c>
      <c r="B5" t="s">
        <v>30</v>
      </c>
      <c r="C5">
        <v>21</v>
      </c>
      <c r="D5" t="s">
        <v>14</v>
      </c>
      <c r="E5" t="s">
        <v>31</v>
      </c>
      <c r="F5" t="s">
        <v>32</v>
      </c>
      <c r="G5" t="s">
        <v>33</v>
      </c>
      <c r="H5">
        <v>909983</v>
      </c>
      <c r="I5">
        <v>0</v>
      </c>
      <c r="J5" t="s">
        <v>18</v>
      </c>
      <c r="K5" t="s">
        <v>25</v>
      </c>
      <c r="L5">
        <v>2</v>
      </c>
    </row>
    <row r="6" spans="1:12" x14ac:dyDescent="0.25">
      <c r="A6" t="s">
        <v>34</v>
      </c>
      <c r="B6" t="s">
        <v>35</v>
      </c>
      <c r="C6">
        <v>27</v>
      </c>
      <c r="D6" t="s">
        <v>22</v>
      </c>
      <c r="E6" t="s">
        <v>31</v>
      </c>
      <c r="F6" t="s">
        <v>16</v>
      </c>
      <c r="G6" t="s">
        <v>17</v>
      </c>
      <c r="H6">
        <v>1078060</v>
      </c>
      <c r="I6">
        <v>6</v>
      </c>
      <c r="J6" t="s">
        <v>36</v>
      </c>
      <c r="K6" t="s">
        <v>19</v>
      </c>
      <c r="L6">
        <v>3</v>
      </c>
    </row>
    <row r="7" spans="1:12" x14ac:dyDescent="0.25">
      <c r="A7" t="s">
        <v>37</v>
      </c>
      <c r="B7" t="s">
        <v>38</v>
      </c>
      <c r="C7">
        <v>30</v>
      </c>
      <c r="D7" t="s">
        <v>22</v>
      </c>
      <c r="E7" t="s">
        <v>39</v>
      </c>
      <c r="F7" t="s">
        <v>40</v>
      </c>
      <c r="G7" t="s">
        <v>41</v>
      </c>
      <c r="H7">
        <v>775124</v>
      </c>
      <c r="I7">
        <v>7</v>
      </c>
      <c r="J7" t="s">
        <v>42</v>
      </c>
      <c r="K7" t="s">
        <v>25</v>
      </c>
      <c r="L7">
        <v>3</v>
      </c>
    </row>
    <row r="8" spans="1:12" x14ac:dyDescent="0.25">
      <c r="A8" t="s">
        <v>43</v>
      </c>
      <c r="B8" t="s">
        <v>44</v>
      </c>
      <c r="C8">
        <v>33</v>
      </c>
      <c r="D8" t="s">
        <v>22</v>
      </c>
      <c r="E8" t="s">
        <v>45</v>
      </c>
      <c r="F8" t="s">
        <v>46</v>
      </c>
      <c r="G8" t="s">
        <v>47</v>
      </c>
      <c r="H8">
        <v>1489182</v>
      </c>
      <c r="I8">
        <v>9</v>
      </c>
      <c r="J8" t="s">
        <v>18</v>
      </c>
      <c r="K8" t="s">
        <v>25</v>
      </c>
      <c r="L8">
        <v>3</v>
      </c>
    </row>
    <row r="9" spans="1:12" x14ac:dyDescent="0.25">
      <c r="A9" t="s">
        <v>48</v>
      </c>
      <c r="B9" t="s">
        <v>49</v>
      </c>
      <c r="C9">
        <v>21</v>
      </c>
      <c r="D9" t="s">
        <v>14</v>
      </c>
      <c r="E9" t="s">
        <v>50</v>
      </c>
      <c r="F9" t="s">
        <v>16</v>
      </c>
      <c r="G9" t="s">
        <v>51</v>
      </c>
      <c r="H9">
        <v>981326</v>
      </c>
      <c r="I9">
        <v>0</v>
      </c>
      <c r="J9" t="s">
        <v>36</v>
      </c>
      <c r="K9" t="s">
        <v>25</v>
      </c>
      <c r="L9">
        <v>2</v>
      </c>
    </row>
    <row r="10" spans="1:12" x14ac:dyDescent="0.25">
      <c r="A10" t="s">
        <v>52</v>
      </c>
      <c r="B10" t="s">
        <v>53</v>
      </c>
      <c r="C10">
        <v>36</v>
      </c>
      <c r="D10" t="s">
        <v>22</v>
      </c>
      <c r="E10" t="s">
        <v>45</v>
      </c>
      <c r="F10" t="s">
        <v>54</v>
      </c>
      <c r="G10" t="s">
        <v>55</v>
      </c>
      <c r="H10">
        <v>1406355</v>
      </c>
      <c r="I10">
        <v>10</v>
      </c>
      <c r="J10" t="s">
        <v>36</v>
      </c>
      <c r="K10" t="s">
        <v>25</v>
      </c>
      <c r="L10">
        <v>2</v>
      </c>
    </row>
    <row r="11" spans="1:12" x14ac:dyDescent="0.25">
      <c r="A11" t="s">
        <v>56</v>
      </c>
      <c r="B11" t="s">
        <v>57</v>
      </c>
      <c r="C11">
        <v>27</v>
      </c>
      <c r="D11" t="s">
        <v>22</v>
      </c>
      <c r="E11" t="s">
        <v>39</v>
      </c>
      <c r="F11" t="s">
        <v>40</v>
      </c>
      <c r="G11" t="s">
        <v>58</v>
      </c>
      <c r="H11">
        <v>528290</v>
      </c>
      <c r="I11">
        <v>1</v>
      </c>
      <c r="J11" t="s">
        <v>18</v>
      </c>
      <c r="K11" t="s">
        <v>25</v>
      </c>
      <c r="L11">
        <v>4</v>
      </c>
    </row>
    <row r="12" spans="1:12" x14ac:dyDescent="0.25">
      <c r="A12" t="s">
        <v>59</v>
      </c>
      <c r="B12" t="s">
        <v>60</v>
      </c>
      <c r="C12">
        <v>24</v>
      </c>
      <c r="D12" t="s">
        <v>22</v>
      </c>
      <c r="E12" t="s">
        <v>61</v>
      </c>
      <c r="F12" t="s">
        <v>54</v>
      </c>
      <c r="G12" t="s">
        <v>55</v>
      </c>
      <c r="H12">
        <v>1154589</v>
      </c>
      <c r="I12">
        <v>1</v>
      </c>
      <c r="J12" t="s">
        <v>36</v>
      </c>
      <c r="K12" t="s">
        <v>25</v>
      </c>
      <c r="L12">
        <v>3</v>
      </c>
    </row>
    <row r="13" spans="1:12" x14ac:dyDescent="0.25">
      <c r="A13" t="s">
        <v>62</v>
      </c>
      <c r="B13" t="s">
        <v>63</v>
      </c>
      <c r="C13">
        <v>34</v>
      </c>
      <c r="D13" t="s">
        <v>14</v>
      </c>
      <c r="E13" t="s">
        <v>31</v>
      </c>
      <c r="F13" t="s">
        <v>40</v>
      </c>
      <c r="G13" t="s">
        <v>58</v>
      </c>
      <c r="H13">
        <v>858089</v>
      </c>
      <c r="I13">
        <v>7</v>
      </c>
      <c r="J13" t="s">
        <v>42</v>
      </c>
      <c r="K13" t="s">
        <v>25</v>
      </c>
      <c r="L13">
        <v>4</v>
      </c>
    </row>
    <row r="14" spans="1:12" x14ac:dyDescent="0.25">
      <c r="A14" t="s">
        <v>64</v>
      </c>
      <c r="B14" t="s">
        <v>65</v>
      </c>
      <c r="C14">
        <v>26</v>
      </c>
      <c r="D14" t="s">
        <v>14</v>
      </c>
      <c r="E14" t="s">
        <v>50</v>
      </c>
      <c r="F14" t="s">
        <v>66</v>
      </c>
      <c r="G14" t="s">
        <v>67</v>
      </c>
      <c r="H14">
        <v>875130</v>
      </c>
      <c r="I14">
        <v>4</v>
      </c>
      <c r="J14" t="s">
        <v>18</v>
      </c>
      <c r="K14" t="s">
        <v>25</v>
      </c>
      <c r="L14">
        <v>4</v>
      </c>
    </row>
    <row r="15" spans="1:12" x14ac:dyDescent="0.25">
      <c r="A15" t="s">
        <v>68</v>
      </c>
      <c r="B15" t="s">
        <v>69</v>
      </c>
      <c r="C15">
        <v>40</v>
      </c>
      <c r="D15" t="s">
        <v>14</v>
      </c>
      <c r="E15" t="s">
        <v>50</v>
      </c>
      <c r="F15" t="s">
        <v>54</v>
      </c>
      <c r="G15" t="s">
        <v>70</v>
      </c>
      <c r="H15">
        <v>1037178</v>
      </c>
      <c r="I15">
        <v>10</v>
      </c>
      <c r="J15" t="s">
        <v>71</v>
      </c>
      <c r="K15" t="s">
        <v>19</v>
      </c>
      <c r="L15">
        <v>3</v>
      </c>
    </row>
    <row r="16" spans="1:12" x14ac:dyDescent="0.25">
      <c r="A16" t="s">
        <v>72</v>
      </c>
      <c r="B16" t="s">
        <v>73</v>
      </c>
      <c r="C16">
        <v>40</v>
      </c>
      <c r="D16" t="s">
        <v>14</v>
      </c>
      <c r="E16" t="s">
        <v>23</v>
      </c>
      <c r="F16" t="s">
        <v>74</v>
      </c>
      <c r="G16" t="s">
        <v>75</v>
      </c>
      <c r="H16">
        <v>691034</v>
      </c>
      <c r="I16">
        <v>9</v>
      </c>
      <c r="J16" t="s">
        <v>18</v>
      </c>
      <c r="K16" t="s">
        <v>19</v>
      </c>
      <c r="L16">
        <v>3</v>
      </c>
    </row>
    <row r="17" spans="1:12" x14ac:dyDescent="0.25">
      <c r="A17" t="s">
        <v>76</v>
      </c>
      <c r="B17" t="s">
        <v>77</v>
      </c>
      <c r="C17">
        <v>34</v>
      </c>
      <c r="D17" t="s">
        <v>14</v>
      </c>
      <c r="E17" t="s">
        <v>78</v>
      </c>
      <c r="F17" t="s">
        <v>32</v>
      </c>
      <c r="G17" t="s">
        <v>79</v>
      </c>
      <c r="H17">
        <v>1488864</v>
      </c>
      <c r="I17">
        <v>6</v>
      </c>
      <c r="J17" t="s">
        <v>42</v>
      </c>
      <c r="K17" t="s">
        <v>25</v>
      </c>
      <c r="L17">
        <v>3</v>
      </c>
    </row>
    <row r="18" spans="1:12" x14ac:dyDescent="0.25">
      <c r="A18" t="s">
        <v>80</v>
      </c>
      <c r="B18" t="s">
        <v>81</v>
      </c>
      <c r="C18">
        <v>31</v>
      </c>
      <c r="D18" t="s">
        <v>22</v>
      </c>
      <c r="E18" t="s">
        <v>50</v>
      </c>
      <c r="F18" t="s">
        <v>40</v>
      </c>
      <c r="G18" t="s">
        <v>82</v>
      </c>
      <c r="H18">
        <v>509211</v>
      </c>
      <c r="I18">
        <v>0</v>
      </c>
      <c r="J18" t="s">
        <v>18</v>
      </c>
      <c r="K18" t="s">
        <v>19</v>
      </c>
      <c r="L18">
        <v>3</v>
      </c>
    </row>
    <row r="19" spans="1:12" x14ac:dyDescent="0.25">
      <c r="A19" t="s">
        <v>83</v>
      </c>
      <c r="B19" t="s">
        <v>84</v>
      </c>
      <c r="C19">
        <v>28</v>
      </c>
      <c r="D19" t="s">
        <v>14</v>
      </c>
      <c r="E19" t="s">
        <v>85</v>
      </c>
      <c r="F19" t="s">
        <v>16</v>
      </c>
      <c r="G19" t="s">
        <v>51</v>
      </c>
      <c r="H19">
        <v>1272139</v>
      </c>
      <c r="I19">
        <v>3</v>
      </c>
      <c r="J19" t="s">
        <v>42</v>
      </c>
      <c r="K19" t="s">
        <v>25</v>
      </c>
      <c r="L19">
        <v>5</v>
      </c>
    </row>
    <row r="20" spans="1:12" x14ac:dyDescent="0.25">
      <c r="A20" t="s">
        <v>86</v>
      </c>
      <c r="B20" t="s">
        <v>87</v>
      </c>
      <c r="C20">
        <v>26</v>
      </c>
      <c r="D20" t="s">
        <v>22</v>
      </c>
      <c r="E20" t="s">
        <v>45</v>
      </c>
      <c r="F20" t="s">
        <v>54</v>
      </c>
      <c r="G20" t="s">
        <v>88</v>
      </c>
      <c r="H20">
        <v>1026468</v>
      </c>
      <c r="I20">
        <v>5</v>
      </c>
      <c r="J20" t="s">
        <v>18</v>
      </c>
      <c r="K20" t="s">
        <v>19</v>
      </c>
      <c r="L20">
        <v>3</v>
      </c>
    </row>
    <row r="21" spans="1:12" x14ac:dyDescent="0.25">
      <c r="A21" t="s">
        <v>89</v>
      </c>
      <c r="B21" t="s">
        <v>90</v>
      </c>
      <c r="C21">
        <v>41</v>
      </c>
      <c r="D21" t="s">
        <v>22</v>
      </c>
      <c r="E21" t="s">
        <v>78</v>
      </c>
      <c r="F21" t="s">
        <v>66</v>
      </c>
      <c r="G21" t="s">
        <v>67</v>
      </c>
      <c r="H21">
        <v>1029033</v>
      </c>
      <c r="I21">
        <v>8</v>
      </c>
      <c r="J21" t="s">
        <v>42</v>
      </c>
      <c r="K21" t="s">
        <v>19</v>
      </c>
      <c r="L21">
        <v>3</v>
      </c>
    </row>
    <row r="22" spans="1:12" x14ac:dyDescent="0.25">
      <c r="A22" t="s">
        <v>91</v>
      </c>
      <c r="B22" t="s">
        <v>92</v>
      </c>
      <c r="C22">
        <v>36</v>
      </c>
      <c r="D22" t="s">
        <v>14</v>
      </c>
      <c r="E22" t="s">
        <v>78</v>
      </c>
      <c r="F22" t="s">
        <v>16</v>
      </c>
      <c r="G22" t="s">
        <v>17</v>
      </c>
      <c r="H22">
        <v>1135849</v>
      </c>
      <c r="I22">
        <v>4</v>
      </c>
      <c r="J22" t="s">
        <v>36</v>
      </c>
      <c r="K22" t="s">
        <v>25</v>
      </c>
      <c r="L22">
        <v>2</v>
      </c>
    </row>
    <row r="23" spans="1:12" x14ac:dyDescent="0.25">
      <c r="A23" t="s">
        <v>93</v>
      </c>
      <c r="B23" t="s">
        <v>94</v>
      </c>
      <c r="C23">
        <v>30</v>
      </c>
      <c r="D23" t="s">
        <v>14</v>
      </c>
      <c r="E23" t="s">
        <v>50</v>
      </c>
      <c r="F23" t="s">
        <v>74</v>
      </c>
      <c r="G23" t="s">
        <v>95</v>
      </c>
      <c r="H23">
        <v>951222</v>
      </c>
      <c r="I23">
        <v>7</v>
      </c>
      <c r="J23" t="s">
        <v>42</v>
      </c>
      <c r="K23" t="s">
        <v>25</v>
      </c>
      <c r="L23">
        <v>3</v>
      </c>
    </row>
    <row r="24" spans="1:12" x14ac:dyDescent="0.25">
      <c r="A24" t="s">
        <v>96</v>
      </c>
      <c r="B24" t="s">
        <v>97</v>
      </c>
      <c r="C24">
        <v>21</v>
      </c>
      <c r="D24" t="s">
        <v>14</v>
      </c>
      <c r="E24" t="s">
        <v>61</v>
      </c>
      <c r="F24" t="s">
        <v>40</v>
      </c>
      <c r="G24" t="s">
        <v>98</v>
      </c>
      <c r="H24">
        <v>948087</v>
      </c>
      <c r="I24">
        <v>0</v>
      </c>
      <c r="J24" t="s">
        <v>36</v>
      </c>
      <c r="K24" t="s">
        <v>19</v>
      </c>
      <c r="L24">
        <v>2</v>
      </c>
    </row>
    <row r="25" spans="1:12" x14ac:dyDescent="0.25">
      <c r="A25" t="s">
        <v>99</v>
      </c>
      <c r="B25" t="s">
        <v>100</v>
      </c>
      <c r="C25">
        <v>40</v>
      </c>
      <c r="D25" t="s">
        <v>22</v>
      </c>
      <c r="E25" t="s">
        <v>15</v>
      </c>
      <c r="F25" t="s">
        <v>66</v>
      </c>
      <c r="G25" t="s">
        <v>101</v>
      </c>
      <c r="H25">
        <v>1272708</v>
      </c>
      <c r="I25">
        <v>11</v>
      </c>
      <c r="J25" t="s">
        <v>18</v>
      </c>
      <c r="K25" t="s">
        <v>25</v>
      </c>
      <c r="L25">
        <v>3</v>
      </c>
    </row>
    <row r="26" spans="1:12" x14ac:dyDescent="0.25">
      <c r="A26" t="s">
        <v>102</v>
      </c>
      <c r="B26" t="s">
        <v>103</v>
      </c>
      <c r="C26">
        <v>37</v>
      </c>
      <c r="D26" t="s">
        <v>22</v>
      </c>
      <c r="E26" t="s">
        <v>31</v>
      </c>
      <c r="F26" t="s">
        <v>40</v>
      </c>
      <c r="G26" t="s">
        <v>82</v>
      </c>
      <c r="H26">
        <v>794297</v>
      </c>
      <c r="I26">
        <v>5</v>
      </c>
      <c r="J26" t="s">
        <v>18</v>
      </c>
      <c r="K26" t="s">
        <v>25</v>
      </c>
      <c r="L26">
        <v>4</v>
      </c>
    </row>
    <row r="27" spans="1:12" x14ac:dyDescent="0.25">
      <c r="A27" t="s">
        <v>104</v>
      </c>
      <c r="B27" t="s">
        <v>105</v>
      </c>
      <c r="C27">
        <v>40</v>
      </c>
      <c r="D27" t="s">
        <v>14</v>
      </c>
      <c r="E27" t="s">
        <v>45</v>
      </c>
      <c r="F27" t="s">
        <v>40</v>
      </c>
      <c r="G27" t="s">
        <v>98</v>
      </c>
      <c r="H27">
        <v>1129663</v>
      </c>
      <c r="I27">
        <v>9</v>
      </c>
      <c r="J27" t="s">
        <v>18</v>
      </c>
      <c r="K27" t="s">
        <v>25</v>
      </c>
      <c r="L27">
        <v>5</v>
      </c>
    </row>
    <row r="28" spans="1:12" x14ac:dyDescent="0.25">
      <c r="A28" t="s">
        <v>106</v>
      </c>
      <c r="B28" t="s">
        <v>21</v>
      </c>
      <c r="C28">
        <v>40</v>
      </c>
      <c r="D28" t="s">
        <v>22</v>
      </c>
      <c r="E28" t="s">
        <v>31</v>
      </c>
      <c r="F28" t="s">
        <v>32</v>
      </c>
      <c r="G28" t="s">
        <v>107</v>
      </c>
      <c r="H28">
        <v>1595923</v>
      </c>
      <c r="I28">
        <v>12</v>
      </c>
      <c r="J28" t="s">
        <v>42</v>
      </c>
      <c r="K28" t="s">
        <v>25</v>
      </c>
      <c r="L28">
        <v>4</v>
      </c>
    </row>
    <row r="29" spans="1:12" x14ac:dyDescent="0.25">
      <c r="A29" t="s">
        <v>108</v>
      </c>
      <c r="B29" t="s">
        <v>109</v>
      </c>
      <c r="C29">
        <v>31</v>
      </c>
      <c r="D29" t="s">
        <v>14</v>
      </c>
      <c r="E29" t="s">
        <v>23</v>
      </c>
      <c r="F29" t="s">
        <v>46</v>
      </c>
      <c r="G29" t="s">
        <v>110</v>
      </c>
      <c r="H29">
        <v>1618422</v>
      </c>
      <c r="I29">
        <v>2</v>
      </c>
      <c r="J29" t="s">
        <v>71</v>
      </c>
      <c r="K29" t="s">
        <v>25</v>
      </c>
      <c r="L29">
        <v>4</v>
      </c>
    </row>
    <row r="30" spans="1:12" x14ac:dyDescent="0.25">
      <c r="A30" t="s">
        <v>111</v>
      </c>
      <c r="B30" t="s">
        <v>112</v>
      </c>
      <c r="C30">
        <v>31</v>
      </c>
      <c r="D30" t="s">
        <v>14</v>
      </c>
      <c r="E30" t="s">
        <v>45</v>
      </c>
      <c r="F30" t="s">
        <v>46</v>
      </c>
      <c r="G30" t="s">
        <v>113</v>
      </c>
      <c r="H30">
        <v>1174278</v>
      </c>
      <c r="I30">
        <v>7</v>
      </c>
      <c r="J30" t="s">
        <v>71</v>
      </c>
      <c r="K30" t="s">
        <v>25</v>
      </c>
      <c r="L30">
        <v>3</v>
      </c>
    </row>
    <row r="31" spans="1:12" x14ac:dyDescent="0.25">
      <c r="A31" t="s">
        <v>114</v>
      </c>
      <c r="B31" t="s">
        <v>115</v>
      </c>
      <c r="C31">
        <v>37</v>
      </c>
      <c r="D31" t="s">
        <v>14</v>
      </c>
      <c r="E31" t="s">
        <v>39</v>
      </c>
      <c r="F31" t="s">
        <v>46</v>
      </c>
      <c r="G31" t="s">
        <v>116</v>
      </c>
      <c r="H31">
        <v>1537883</v>
      </c>
      <c r="I31">
        <v>9</v>
      </c>
      <c r="J31" t="s">
        <v>42</v>
      </c>
      <c r="K31" t="s">
        <v>19</v>
      </c>
      <c r="L31">
        <v>3</v>
      </c>
    </row>
    <row r="32" spans="1:12" x14ac:dyDescent="0.25">
      <c r="A32" t="s">
        <v>117</v>
      </c>
      <c r="B32" t="s">
        <v>118</v>
      </c>
      <c r="C32">
        <v>39</v>
      </c>
      <c r="D32" t="s">
        <v>22</v>
      </c>
      <c r="E32" t="s">
        <v>28</v>
      </c>
      <c r="F32" t="s">
        <v>54</v>
      </c>
      <c r="G32" t="s">
        <v>119</v>
      </c>
      <c r="H32">
        <v>1013689</v>
      </c>
      <c r="I32">
        <v>10</v>
      </c>
      <c r="J32" t="s">
        <v>36</v>
      </c>
      <c r="K32" t="s">
        <v>25</v>
      </c>
      <c r="L32">
        <v>3</v>
      </c>
    </row>
    <row r="33" spans="1:12" x14ac:dyDescent="0.25">
      <c r="A33" t="s">
        <v>120</v>
      </c>
      <c r="B33" t="s">
        <v>121</v>
      </c>
      <c r="C33">
        <v>41</v>
      </c>
      <c r="D33" t="s">
        <v>22</v>
      </c>
      <c r="E33" t="s">
        <v>78</v>
      </c>
      <c r="F33" t="s">
        <v>54</v>
      </c>
      <c r="G33" t="s">
        <v>70</v>
      </c>
      <c r="H33">
        <v>1506745</v>
      </c>
      <c r="I33">
        <v>12</v>
      </c>
      <c r="J33" t="s">
        <v>42</v>
      </c>
      <c r="K33" t="s">
        <v>25</v>
      </c>
      <c r="L33">
        <v>3</v>
      </c>
    </row>
    <row r="34" spans="1:12" x14ac:dyDescent="0.25">
      <c r="A34" t="s">
        <v>122</v>
      </c>
      <c r="B34" t="s">
        <v>123</v>
      </c>
      <c r="C34">
        <v>23</v>
      </c>
      <c r="D34" t="s">
        <v>22</v>
      </c>
      <c r="E34" t="s">
        <v>85</v>
      </c>
      <c r="F34" t="s">
        <v>16</v>
      </c>
      <c r="G34" t="s">
        <v>17</v>
      </c>
      <c r="H34">
        <v>866432</v>
      </c>
      <c r="I34">
        <v>0</v>
      </c>
      <c r="J34" t="s">
        <v>42</v>
      </c>
      <c r="K34" t="s">
        <v>19</v>
      </c>
      <c r="L34">
        <v>3</v>
      </c>
    </row>
    <row r="35" spans="1:12" x14ac:dyDescent="0.25">
      <c r="A35" t="s">
        <v>124</v>
      </c>
      <c r="B35" t="s">
        <v>125</v>
      </c>
      <c r="C35">
        <v>28</v>
      </c>
      <c r="D35" t="s">
        <v>22</v>
      </c>
      <c r="E35" t="s">
        <v>15</v>
      </c>
      <c r="F35" t="s">
        <v>16</v>
      </c>
      <c r="G35" t="s">
        <v>126</v>
      </c>
      <c r="H35">
        <v>1058005</v>
      </c>
      <c r="I35">
        <v>2</v>
      </c>
      <c r="J35" t="s">
        <v>42</v>
      </c>
      <c r="K35" t="s">
        <v>25</v>
      </c>
      <c r="L35">
        <v>4</v>
      </c>
    </row>
    <row r="36" spans="1:12" x14ac:dyDescent="0.25">
      <c r="A36" t="s">
        <v>127</v>
      </c>
      <c r="B36" t="s">
        <v>128</v>
      </c>
      <c r="C36">
        <v>48</v>
      </c>
      <c r="D36" t="s">
        <v>22</v>
      </c>
      <c r="E36" t="s">
        <v>23</v>
      </c>
      <c r="F36" t="s">
        <v>32</v>
      </c>
      <c r="G36" t="s">
        <v>129</v>
      </c>
      <c r="H36">
        <v>2423862</v>
      </c>
      <c r="I36">
        <v>20</v>
      </c>
      <c r="J36" t="s">
        <v>42</v>
      </c>
      <c r="K36" t="s">
        <v>25</v>
      </c>
      <c r="L36">
        <v>3</v>
      </c>
    </row>
    <row r="37" spans="1:12" x14ac:dyDescent="0.25">
      <c r="A37" t="s">
        <v>130</v>
      </c>
      <c r="B37" t="s">
        <v>131</v>
      </c>
      <c r="C37">
        <v>35</v>
      </c>
      <c r="D37" t="s">
        <v>14</v>
      </c>
      <c r="E37" t="s">
        <v>78</v>
      </c>
      <c r="F37" t="s">
        <v>66</v>
      </c>
      <c r="G37" t="s">
        <v>67</v>
      </c>
      <c r="H37">
        <v>814673</v>
      </c>
      <c r="I37">
        <v>5</v>
      </c>
      <c r="J37" t="s">
        <v>71</v>
      </c>
      <c r="K37" t="s">
        <v>25</v>
      </c>
      <c r="L37">
        <v>4</v>
      </c>
    </row>
    <row r="38" spans="1:12" x14ac:dyDescent="0.25">
      <c r="A38" t="s">
        <v>132</v>
      </c>
      <c r="B38" t="s">
        <v>133</v>
      </c>
      <c r="C38">
        <v>29</v>
      </c>
      <c r="D38" t="s">
        <v>14</v>
      </c>
      <c r="E38" t="s">
        <v>78</v>
      </c>
      <c r="F38" t="s">
        <v>40</v>
      </c>
      <c r="G38" t="s">
        <v>82</v>
      </c>
      <c r="H38">
        <v>790084</v>
      </c>
      <c r="I38">
        <v>3</v>
      </c>
      <c r="J38" t="s">
        <v>42</v>
      </c>
      <c r="K38" t="s">
        <v>25</v>
      </c>
      <c r="L38">
        <v>3</v>
      </c>
    </row>
    <row r="39" spans="1:12" x14ac:dyDescent="0.25">
      <c r="A39" t="s">
        <v>134</v>
      </c>
      <c r="B39" t="s">
        <v>135</v>
      </c>
      <c r="C39">
        <v>40</v>
      </c>
      <c r="D39" t="s">
        <v>22</v>
      </c>
      <c r="E39" t="s">
        <v>78</v>
      </c>
      <c r="F39" t="s">
        <v>136</v>
      </c>
      <c r="G39" t="s">
        <v>137</v>
      </c>
      <c r="H39">
        <v>1720921</v>
      </c>
      <c r="I39">
        <v>16</v>
      </c>
      <c r="J39" t="s">
        <v>18</v>
      </c>
      <c r="K39" t="s">
        <v>25</v>
      </c>
      <c r="L39">
        <v>3</v>
      </c>
    </row>
    <row r="40" spans="1:12" x14ac:dyDescent="0.25">
      <c r="A40" t="s">
        <v>138</v>
      </c>
      <c r="B40" t="s">
        <v>139</v>
      </c>
      <c r="C40">
        <v>30</v>
      </c>
      <c r="D40" t="s">
        <v>14</v>
      </c>
      <c r="E40" t="s">
        <v>50</v>
      </c>
      <c r="F40" t="s">
        <v>16</v>
      </c>
      <c r="G40" t="s">
        <v>51</v>
      </c>
      <c r="H40">
        <v>1398455</v>
      </c>
      <c r="I40">
        <v>9</v>
      </c>
      <c r="J40" t="s">
        <v>42</v>
      </c>
      <c r="K40" t="s">
        <v>25</v>
      </c>
      <c r="L40">
        <v>3</v>
      </c>
    </row>
    <row r="41" spans="1:12" x14ac:dyDescent="0.25">
      <c r="A41" t="s">
        <v>140</v>
      </c>
      <c r="B41" t="s">
        <v>141</v>
      </c>
      <c r="C41">
        <v>31</v>
      </c>
      <c r="D41" t="s">
        <v>22</v>
      </c>
      <c r="E41" t="s">
        <v>61</v>
      </c>
      <c r="F41" t="s">
        <v>136</v>
      </c>
      <c r="G41" t="s">
        <v>142</v>
      </c>
      <c r="H41">
        <v>831766</v>
      </c>
      <c r="I41">
        <v>4</v>
      </c>
      <c r="J41" t="s">
        <v>42</v>
      </c>
      <c r="K41" t="s">
        <v>25</v>
      </c>
      <c r="L41">
        <v>3</v>
      </c>
    </row>
    <row r="42" spans="1:12" x14ac:dyDescent="0.25">
      <c r="A42" t="s">
        <v>143</v>
      </c>
      <c r="B42" t="s">
        <v>144</v>
      </c>
      <c r="C42">
        <v>30</v>
      </c>
      <c r="D42" t="s">
        <v>22</v>
      </c>
      <c r="E42" t="s">
        <v>61</v>
      </c>
      <c r="F42" t="s">
        <v>32</v>
      </c>
      <c r="G42" t="s">
        <v>33</v>
      </c>
      <c r="H42">
        <v>1154236</v>
      </c>
      <c r="I42">
        <v>5</v>
      </c>
      <c r="J42" t="s">
        <v>145</v>
      </c>
      <c r="K42" t="s">
        <v>25</v>
      </c>
      <c r="L42">
        <v>3</v>
      </c>
    </row>
    <row r="43" spans="1:12" x14ac:dyDescent="0.25">
      <c r="A43" t="s">
        <v>146</v>
      </c>
      <c r="B43" t="s">
        <v>147</v>
      </c>
      <c r="C43">
        <v>40</v>
      </c>
      <c r="D43" t="s">
        <v>14</v>
      </c>
      <c r="E43" t="s">
        <v>39</v>
      </c>
      <c r="F43" t="s">
        <v>46</v>
      </c>
      <c r="G43" t="s">
        <v>113</v>
      </c>
      <c r="H43">
        <v>1607948</v>
      </c>
      <c r="I43">
        <v>9</v>
      </c>
      <c r="J43" t="s">
        <v>145</v>
      </c>
      <c r="K43" t="s">
        <v>19</v>
      </c>
      <c r="L43">
        <v>2</v>
      </c>
    </row>
    <row r="44" spans="1:12" x14ac:dyDescent="0.25">
      <c r="A44" t="s">
        <v>148</v>
      </c>
      <c r="B44" t="s">
        <v>149</v>
      </c>
      <c r="C44">
        <v>28</v>
      </c>
      <c r="D44" t="s">
        <v>14</v>
      </c>
      <c r="E44" t="s">
        <v>50</v>
      </c>
      <c r="F44" t="s">
        <v>40</v>
      </c>
      <c r="G44" t="s">
        <v>41</v>
      </c>
      <c r="H44">
        <v>573998</v>
      </c>
      <c r="I44">
        <v>4</v>
      </c>
      <c r="J44" t="s">
        <v>71</v>
      </c>
      <c r="K44" t="s">
        <v>25</v>
      </c>
      <c r="L44">
        <v>3</v>
      </c>
    </row>
    <row r="45" spans="1:12" x14ac:dyDescent="0.25">
      <c r="A45" t="s">
        <v>150</v>
      </c>
      <c r="B45" t="s">
        <v>151</v>
      </c>
      <c r="C45">
        <v>29</v>
      </c>
      <c r="D45" t="s">
        <v>22</v>
      </c>
      <c r="E45" t="s">
        <v>78</v>
      </c>
      <c r="F45" t="s">
        <v>40</v>
      </c>
      <c r="G45" t="s">
        <v>98</v>
      </c>
      <c r="H45">
        <v>1119166</v>
      </c>
      <c r="I45">
        <v>6</v>
      </c>
      <c r="J45" t="s">
        <v>18</v>
      </c>
      <c r="K45" t="s">
        <v>25</v>
      </c>
      <c r="L45">
        <v>4</v>
      </c>
    </row>
    <row r="46" spans="1:12" x14ac:dyDescent="0.25">
      <c r="A46" t="s">
        <v>152</v>
      </c>
      <c r="B46" t="s">
        <v>153</v>
      </c>
      <c r="C46">
        <v>21</v>
      </c>
      <c r="D46" t="s">
        <v>22</v>
      </c>
      <c r="E46" t="s">
        <v>50</v>
      </c>
      <c r="F46" t="s">
        <v>54</v>
      </c>
      <c r="G46" t="s">
        <v>119</v>
      </c>
      <c r="H46">
        <v>689757</v>
      </c>
      <c r="I46">
        <v>0</v>
      </c>
      <c r="J46" t="s">
        <v>18</v>
      </c>
      <c r="K46" t="s">
        <v>19</v>
      </c>
      <c r="L46">
        <v>4</v>
      </c>
    </row>
    <row r="47" spans="1:12" x14ac:dyDescent="0.25">
      <c r="A47" t="s">
        <v>154</v>
      </c>
      <c r="B47" t="s">
        <v>155</v>
      </c>
      <c r="C47">
        <v>28</v>
      </c>
      <c r="D47" t="s">
        <v>22</v>
      </c>
      <c r="E47" t="s">
        <v>28</v>
      </c>
      <c r="F47" t="s">
        <v>40</v>
      </c>
      <c r="G47" t="s">
        <v>82</v>
      </c>
      <c r="H47">
        <v>766890</v>
      </c>
      <c r="I47">
        <v>7</v>
      </c>
      <c r="J47" t="s">
        <v>71</v>
      </c>
      <c r="K47" t="s">
        <v>19</v>
      </c>
      <c r="L47">
        <v>3</v>
      </c>
    </row>
    <row r="48" spans="1:12" x14ac:dyDescent="0.25">
      <c r="A48" t="s">
        <v>156</v>
      </c>
      <c r="B48" t="s">
        <v>157</v>
      </c>
      <c r="C48">
        <v>30</v>
      </c>
      <c r="D48" t="s">
        <v>22</v>
      </c>
      <c r="E48" t="s">
        <v>23</v>
      </c>
      <c r="F48" t="s">
        <v>46</v>
      </c>
      <c r="G48" t="s">
        <v>113</v>
      </c>
      <c r="H48">
        <v>1207108</v>
      </c>
      <c r="I48">
        <v>3</v>
      </c>
      <c r="J48" t="s">
        <v>71</v>
      </c>
      <c r="K48" t="s">
        <v>25</v>
      </c>
      <c r="L48">
        <v>3</v>
      </c>
    </row>
    <row r="49" spans="1:12" x14ac:dyDescent="0.25">
      <c r="A49" t="s">
        <v>158</v>
      </c>
      <c r="B49" t="s">
        <v>159</v>
      </c>
      <c r="C49">
        <v>39</v>
      </c>
      <c r="D49" t="s">
        <v>14</v>
      </c>
      <c r="E49" t="s">
        <v>28</v>
      </c>
      <c r="F49" t="s">
        <v>54</v>
      </c>
      <c r="G49" t="s">
        <v>70</v>
      </c>
      <c r="H49">
        <v>1306249</v>
      </c>
      <c r="I49">
        <v>13</v>
      </c>
      <c r="J49" t="s">
        <v>36</v>
      </c>
      <c r="K49" t="s">
        <v>25</v>
      </c>
      <c r="L49">
        <v>2</v>
      </c>
    </row>
    <row r="50" spans="1:12" x14ac:dyDescent="0.25">
      <c r="A50" t="s">
        <v>160</v>
      </c>
      <c r="B50" t="s">
        <v>161</v>
      </c>
      <c r="C50">
        <v>21</v>
      </c>
      <c r="D50" t="s">
        <v>14</v>
      </c>
      <c r="E50" t="s">
        <v>50</v>
      </c>
      <c r="F50" t="s">
        <v>74</v>
      </c>
      <c r="G50" t="s">
        <v>75</v>
      </c>
      <c r="H50">
        <v>580245</v>
      </c>
      <c r="I50">
        <v>0</v>
      </c>
      <c r="J50" t="s">
        <v>18</v>
      </c>
      <c r="K50" t="s">
        <v>19</v>
      </c>
      <c r="L50">
        <v>2</v>
      </c>
    </row>
    <row r="51" spans="1:12" x14ac:dyDescent="0.25">
      <c r="A51" t="s">
        <v>162</v>
      </c>
      <c r="B51" t="s">
        <v>163</v>
      </c>
      <c r="C51">
        <v>41</v>
      </c>
      <c r="D51" t="s">
        <v>22</v>
      </c>
      <c r="E51" t="s">
        <v>31</v>
      </c>
      <c r="F51" t="s">
        <v>16</v>
      </c>
      <c r="G51" t="s">
        <v>51</v>
      </c>
      <c r="H51">
        <v>1415884</v>
      </c>
      <c r="I51">
        <v>9</v>
      </c>
      <c r="J51" t="s">
        <v>71</v>
      </c>
      <c r="K51" t="s">
        <v>25</v>
      </c>
      <c r="L51">
        <v>3</v>
      </c>
    </row>
    <row r="52" spans="1:12" x14ac:dyDescent="0.25">
      <c r="A52" t="s">
        <v>164</v>
      </c>
      <c r="B52" t="s">
        <v>165</v>
      </c>
      <c r="C52">
        <v>27</v>
      </c>
      <c r="D52" t="s">
        <v>22</v>
      </c>
      <c r="E52" t="s">
        <v>61</v>
      </c>
      <c r="F52" t="s">
        <v>16</v>
      </c>
      <c r="G52" t="s">
        <v>24</v>
      </c>
      <c r="H52">
        <v>836663</v>
      </c>
      <c r="I52">
        <v>6</v>
      </c>
      <c r="J52" t="s">
        <v>36</v>
      </c>
      <c r="K52" t="s">
        <v>19</v>
      </c>
      <c r="L52">
        <v>4</v>
      </c>
    </row>
    <row r="53" spans="1:12" x14ac:dyDescent="0.25">
      <c r="A53" t="s">
        <v>166</v>
      </c>
      <c r="B53" t="s">
        <v>167</v>
      </c>
      <c r="C53">
        <v>42</v>
      </c>
      <c r="D53" t="s">
        <v>14</v>
      </c>
      <c r="E53" t="s">
        <v>23</v>
      </c>
      <c r="F53" t="s">
        <v>66</v>
      </c>
      <c r="G53" t="s">
        <v>101</v>
      </c>
      <c r="H53">
        <v>1311020</v>
      </c>
      <c r="I53">
        <v>11</v>
      </c>
      <c r="J53" t="s">
        <v>18</v>
      </c>
      <c r="K53" t="s">
        <v>25</v>
      </c>
      <c r="L53">
        <v>2</v>
      </c>
    </row>
    <row r="54" spans="1:12" x14ac:dyDescent="0.25">
      <c r="A54" t="s">
        <v>168</v>
      </c>
      <c r="B54" t="s">
        <v>169</v>
      </c>
      <c r="C54">
        <v>35</v>
      </c>
      <c r="D54" t="s">
        <v>22</v>
      </c>
      <c r="E54" t="s">
        <v>45</v>
      </c>
      <c r="F54" t="s">
        <v>136</v>
      </c>
      <c r="G54" t="s">
        <v>137</v>
      </c>
      <c r="H54">
        <v>1192111</v>
      </c>
      <c r="I54">
        <v>7</v>
      </c>
      <c r="J54" t="s">
        <v>18</v>
      </c>
      <c r="K54" t="s">
        <v>19</v>
      </c>
      <c r="L54">
        <v>5</v>
      </c>
    </row>
    <row r="55" spans="1:12" x14ac:dyDescent="0.25">
      <c r="A55" t="s">
        <v>170</v>
      </c>
      <c r="B55" t="s">
        <v>171</v>
      </c>
      <c r="C55">
        <v>35</v>
      </c>
      <c r="D55" t="s">
        <v>22</v>
      </c>
      <c r="E55" t="s">
        <v>23</v>
      </c>
      <c r="F55" t="s">
        <v>66</v>
      </c>
      <c r="G55" t="s">
        <v>101</v>
      </c>
      <c r="H55">
        <v>1273133</v>
      </c>
      <c r="I55">
        <v>8</v>
      </c>
      <c r="J55" t="s">
        <v>42</v>
      </c>
      <c r="K55" t="s">
        <v>25</v>
      </c>
      <c r="L55">
        <v>5</v>
      </c>
    </row>
    <row r="56" spans="1:12" x14ac:dyDescent="0.25">
      <c r="A56" t="s">
        <v>172</v>
      </c>
      <c r="B56" t="s">
        <v>173</v>
      </c>
      <c r="C56">
        <v>28</v>
      </c>
      <c r="D56" t="s">
        <v>22</v>
      </c>
      <c r="E56" t="s">
        <v>78</v>
      </c>
      <c r="F56" t="s">
        <v>32</v>
      </c>
      <c r="G56" t="s">
        <v>33</v>
      </c>
      <c r="H56">
        <v>1275016</v>
      </c>
      <c r="I56">
        <v>7</v>
      </c>
      <c r="J56" t="s">
        <v>42</v>
      </c>
      <c r="K56" t="s">
        <v>25</v>
      </c>
      <c r="L56">
        <v>3</v>
      </c>
    </row>
    <row r="57" spans="1:12" x14ac:dyDescent="0.25">
      <c r="A57" t="s">
        <v>174</v>
      </c>
      <c r="B57" t="s">
        <v>175</v>
      </c>
      <c r="C57">
        <v>38</v>
      </c>
      <c r="D57" t="s">
        <v>14</v>
      </c>
      <c r="E57" t="s">
        <v>50</v>
      </c>
      <c r="F57" t="s">
        <v>32</v>
      </c>
      <c r="G57" t="s">
        <v>33</v>
      </c>
      <c r="H57">
        <v>942682</v>
      </c>
      <c r="I57">
        <v>2</v>
      </c>
      <c r="J57" t="s">
        <v>18</v>
      </c>
      <c r="K57" t="s">
        <v>25</v>
      </c>
      <c r="L57">
        <v>5</v>
      </c>
    </row>
    <row r="58" spans="1:12" x14ac:dyDescent="0.25">
      <c r="A58" t="s">
        <v>176</v>
      </c>
      <c r="B58" t="s">
        <v>177</v>
      </c>
      <c r="C58">
        <v>21</v>
      </c>
      <c r="D58" t="s">
        <v>22</v>
      </c>
      <c r="E58" t="s">
        <v>85</v>
      </c>
      <c r="F58" t="s">
        <v>74</v>
      </c>
      <c r="G58" t="s">
        <v>95</v>
      </c>
      <c r="H58">
        <v>843776</v>
      </c>
      <c r="I58">
        <v>0</v>
      </c>
      <c r="J58" t="s">
        <v>36</v>
      </c>
      <c r="K58" t="s">
        <v>25</v>
      </c>
      <c r="L58">
        <v>3</v>
      </c>
    </row>
    <row r="59" spans="1:12" x14ac:dyDescent="0.25">
      <c r="A59" t="s">
        <v>178</v>
      </c>
      <c r="B59" t="s">
        <v>179</v>
      </c>
      <c r="C59">
        <v>42</v>
      </c>
      <c r="D59" t="s">
        <v>22</v>
      </c>
      <c r="E59" t="s">
        <v>23</v>
      </c>
      <c r="F59" t="s">
        <v>46</v>
      </c>
      <c r="G59" t="s">
        <v>47</v>
      </c>
      <c r="H59">
        <v>1807774</v>
      </c>
      <c r="I59">
        <v>15</v>
      </c>
      <c r="J59" t="s">
        <v>18</v>
      </c>
      <c r="K59" t="s">
        <v>25</v>
      </c>
      <c r="L59">
        <v>3</v>
      </c>
    </row>
    <row r="60" spans="1:12" x14ac:dyDescent="0.25">
      <c r="A60" t="s">
        <v>180</v>
      </c>
      <c r="B60" t="s">
        <v>181</v>
      </c>
      <c r="C60">
        <v>33</v>
      </c>
      <c r="D60" t="s">
        <v>22</v>
      </c>
      <c r="E60" t="s">
        <v>31</v>
      </c>
      <c r="F60" t="s">
        <v>32</v>
      </c>
      <c r="G60" t="s">
        <v>79</v>
      </c>
      <c r="H60">
        <v>1417723</v>
      </c>
      <c r="I60">
        <v>7</v>
      </c>
      <c r="J60" t="s">
        <v>18</v>
      </c>
      <c r="K60" t="s">
        <v>25</v>
      </c>
      <c r="L60">
        <v>4</v>
      </c>
    </row>
    <row r="61" spans="1:12" x14ac:dyDescent="0.25">
      <c r="A61" t="s">
        <v>182</v>
      </c>
      <c r="B61" t="s">
        <v>73</v>
      </c>
      <c r="C61">
        <v>31</v>
      </c>
      <c r="D61" t="s">
        <v>22</v>
      </c>
      <c r="E61" t="s">
        <v>85</v>
      </c>
      <c r="F61" t="s">
        <v>54</v>
      </c>
      <c r="G61" t="s">
        <v>70</v>
      </c>
      <c r="H61">
        <v>729228</v>
      </c>
      <c r="I61">
        <v>5</v>
      </c>
      <c r="J61" t="s">
        <v>71</v>
      </c>
      <c r="K61" t="s">
        <v>25</v>
      </c>
      <c r="L61">
        <v>4</v>
      </c>
    </row>
    <row r="62" spans="1:12" x14ac:dyDescent="0.25">
      <c r="A62" t="s">
        <v>183</v>
      </c>
      <c r="B62" t="s">
        <v>184</v>
      </c>
      <c r="C62">
        <v>22</v>
      </c>
      <c r="D62" t="s">
        <v>14</v>
      </c>
      <c r="E62" t="s">
        <v>50</v>
      </c>
      <c r="F62" t="s">
        <v>32</v>
      </c>
      <c r="G62" t="s">
        <v>79</v>
      </c>
      <c r="H62">
        <v>1152989</v>
      </c>
      <c r="I62">
        <v>1</v>
      </c>
      <c r="J62" t="s">
        <v>42</v>
      </c>
      <c r="K62" t="s">
        <v>25</v>
      </c>
      <c r="L62">
        <v>3</v>
      </c>
    </row>
    <row r="63" spans="1:12" x14ac:dyDescent="0.25">
      <c r="A63" t="s">
        <v>185</v>
      </c>
      <c r="B63" t="s">
        <v>186</v>
      </c>
      <c r="C63">
        <v>29</v>
      </c>
      <c r="D63" t="s">
        <v>22</v>
      </c>
      <c r="E63" t="s">
        <v>45</v>
      </c>
      <c r="F63" t="s">
        <v>32</v>
      </c>
      <c r="G63" t="s">
        <v>79</v>
      </c>
      <c r="H63">
        <v>1503576</v>
      </c>
      <c r="I63">
        <v>7</v>
      </c>
      <c r="J63" t="s">
        <v>42</v>
      </c>
      <c r="K63" t="s">
        <v>25</v>
      </c>
      <c r="L63">
        <v>4</v>
      </c>
    </row>
    <row r="64" spans="1:12" x14ac:dyDescent="0.25">
      <c r="A64" t="s">
        <v>187</v>
      </c>
      <c r="B64" t="s">
        <v>188</v>
      </c>
      <c r="C64">
        <v>42</v>
      </c>
      <c r="D64" t="s">
        <v>14</v>
      </c>
      <c r="E64" t="s">
        <v>61</v>
      </c>
      <c r="F64" t="s">
        <v>40</v>
      </c>
      <c r="G64" t="s">
        <v>58</v>
      </c>
      <c r="H64">
        <v>974221</v>
      </c>
      <c r="I64">
        <v>14</v>
      </c>
      <c r="J64" t="s">
        <v>18</v>
      </c>
      <c r="K64" t="s">
        <v>25</v>
      </c>
      <c r="L64">
        <v>3</v>
      </c>
    </row>
    <row r="65" spans="1:12" x14ac:dyDescent="0.25">
      <c r="A65" t="s">
        <v>189</v>
      </c>
      <c r="B65" t="s">
        <v>190</v>
      </c>
      <c r="C65">
        <v>42</v>
      </c>
      <c r="D65" t="s">
        <v>14</v>
      </c>
      <c r="E65" t="s">
        <v>31</v>
      </c>
      <c r="F65" t="s">
        <v>136</v>
      </c>
      <c r="G65" t="s">
        <v>191</v>
      </c>
      <c r="H65">
        <v>1496668</v>
      </c>
      <c r="I65">
        <v>16</v>
      </c>
      <c r="J65" t="s">
        <v>42</v>
      </c>
      <c r="K65" t="s">
        <v>25</v>
      </c>
      <c r="L65">
        <v>4</v>
      </c>
    </row>
    <row r="66" spans="1:12" x14ac:dyDescent="0.25">
      <c r="A66" t="s">
        <v>192</v>
      </c>
      <c r="B66" t="s">
        <v>193</v>
      </c>
      <c r="C66">
        <v>31</v>
      </c>
      <c r="D66" t="s">
        <v>14</v>
      </c>
      <c r="E66" t="s">
        <v>15</v>
      </c>
      <c r="F66" t="s">
        <v>40</v>
      </c>
      <c r="G66" t="s">
        <v>41</v>
      </c>
      <c r="H66">
        <v>814442</v>
      </c>
      <c r="I66">
        <v>7</v>
      </c>
      <c r="J66" t="s">
        <v>18</v>
      </c>
      <c r="K66" t="s">
        <v>25</v>
      </c>
      <c r="L66">
        <v>3</v>
      </c>
    </row>
    <row r="67" spans="1:12" x14ac:dyDescent="0.25">
      <c r="A67" t="s">
        <v>194</v>
      </c>
      <c r="B67" t="s">
        <v>195</v>
      </c>
      <c r="C67">
        <v>34</v>
      </c>
      <c r="D67" t="s">
        <v>14</v>
      </c>
      <c r="E67" t="s">
        <v>31</v>
      </c>
      <c r="F67" t="s">
        <v>16</v>
      </c>
      <c r="G67" t="s">
        <v>24</v>
      </c>
      <c r="H67">
        <v>925410</v>
      </c>
      <c r="I67">
        <v>8</v>
      </c>
      <c r="J67" t="s">
        <v>18</v>
      </c>
      <c r="K67" t="s">
        <v>25</v>
      </c>
      <c r="L67">
        <v>4</v>
      </c>
    </row>
    <row r="68" spans="1:12" x14ac:dyDescent="0.25">
      <c r="A68" t="s">
        <v>196</v>
      </c>
      <c r="B68" t="s">
        <v>197</v>
      </c>
      <c r="C68">
        <v>28</v>
      </c>
      <c r="D68" t="s">
        <v>22</v>
      </c>
      <c r="E68" t="s">
        <v>28</v>
      </c>
      <c r="F68" t="s">
        <v>66</v>
      </c>
      <c r="G68" t="s">
        <v>198</v>
      </c>
      <c r="H68">
        <v>546605</v>
      </c>
      <c r="I68">
        <v>2</v>
      </c>
      <c r="J68" t="s">
        <v>18</v>
      </c>
      <c r="K68" t="s">
        <v>19</v>
      </c>
      <c r="L68">
        <v>2</v>
      </c>
    </row>
    <row r="69" spans="1:12" x14ac:dyDescent="0.25">
      <c r="A69" t="s">
        <v>199</v>
      </c>
      <c r="B69" t="s">
        <v>200</v>
      </c>
      <c r="C69">
        <v>28</v>
      </c>
      <c r="D69" t="s">
        <v>14</v>
      </c>
      <c r="E69" t="s">
        <v>31</v>
      </c>
      <c r="F69" t="s">
        <v>32</v>
      </c>
      <c r="G69" t="s">
        <v>129</v>
      </c>
      <c r="H69">
        <v>1504690</v>
      </c>
      <c r="I69">
        <v>2</v>
      </c>
      <c r="J69" t="s">
        <v>42</v>
      </c>
      <c r="K69" t="s">
        <v>25</v>
      </c>
      <c r="L69">
        <v>1</v>
      </c>
    </row>
    <row r="70" spans="1:12" x14ac:dyDescent="0.25">
      <c r="A70" t="s">
        <v>201</v>
      </c>
      <c r="B70" t="s">
        <v>202</v>
      </c>
      <c r="C70">
        <v>37</v>
      </c>
      <c r="D70" t="s">
        <v>22</v>
      </c>
      <c r="E70" t="s">
        <v>23</v>
      </c>
      <c r="F70" t="s">
        <v>54</v>
      </c>
      <c r="G70" t="s">
        <v>88</v>
      </c>
      <c r="H70">
        <v>895744</v>
      </c>
      <c r="I70">
        <v>6</v>
      </c>
      <c r="J70" t="s">
        <v>18</v>
      </c>
      <c r="K70" t="s">
        <v>25</v>
      </c>
      <c r="L70">
        <v>3</v>
      </c>
    </row>
    <row r="71" spans="1:12" x14ac:dyDescent="0.25">
      <c r="A71" t="s">
        <v>203</v>
      </c>
      <c r="B71" t="s">
        <v>84</v>
      </c>
      <c r="C71">
        <v>23</v>
      </c>
      <c r="D71" t="s">
        <v>14</v>
      </c>
      <c r="E71" t="s">
        <v>23</v>
      </c>
      <c r="F71" t="s">
        <v>66</v>
      </c>
      <c r="G71" t="s">
        <v>204</v>
      </c>
      <c r="H71">
        <v>717586</v>
      </c>
      <c r="I71">
        <v>2</v>
      </c>
      <c r="J71" t="s">
        <v>18</v>
      </c>
      <c r="K71" t="s">
        <v>25</v>
      </c>
      <c r="L71">
        <v>3</v>
      </c>
    </row>
    <row r="72" spans="1:12" x14ac:dyDescent="0.25">
      <c r="A72" t="s">
        <v>205</v>
      </c>
      <c r="B72" t="s">
        <v>206</v>
      </c>
      <c r="C72">
        <v>25</v>
      </c>
      <c r="D72" t="s">
        <v>14</v>
      </c>
      <c r="E72" t="s">
        <v>39</v>
      </c>
      <c r="F72" t="s">
        <v>136</v>
      </c>
      <c r="G72" t="s">
        <v>207</v>
      </c>
      <c r="H72">
        <v>787054</v>
      </c>
      <c r="I72">
        <v>2</v>
      </c>
      <c r="J72" t="s">
        <v>42</v>
      </c>
      <c r="K72" t="s">
        <v>19</v>
      </c>
      <c r="L72">
        <v>3</v>
      </c>
    </row>
    <row r="73" spans="1:12" x14ac:dyDescent="0.25">
      <c r="A73" t="s">
        <v>208</v>
      </c>
      <c r="B73" t="s">
        <v>209</v>
      </c>
      <c r="C73">
        <v>25</v>
      </c>
      <c r="D73" t="s">
        <v>14</v>
      </c>
      <c r="E73" t="s">
        <v>23</v>
      </c>
      <c r="F73" t="s">
        <v>16</v>
      </c>
      <c r="G73" t="s">
        <v>24</v>
      </c>
      <c r="H73">
        <v>752660</v>
      </c>
      <c r="I73">
        <v>0</v>
      </c>
      <c r="J73" t="s">
        <v>145</v>
      </c>
      <c r="K73" t="s">
        <v>25</v>
      </c>
      <c r="L73">
        <v>3</v>
      </c>
    </row>
    <row r="74" spans="1:12" x14ac:dyDescent="0.25">
      <c r="A74" t="s">
        <v>210</v>
      </c>
      <c r="B74" t="s">
        <v>211</v>
      </c>
      <c r="C74">
        <v>25</v>
      </c>
      <c r="D74" t="s">
        <v>22</v>
      </c>
      <c r="E74" t="s">
        <v>50</v>
      </c>
      <c r="F74" t="s">
        <v>32</v>
      </c>
      <c r="G74" t="s">
        <v>79</v>
      </c>
      <c r="H74">
        <v>1232854</v>
      </c>
      <c r="I74">
        <v>2</v>
      </c>
      <c r="J74" t="s">
        <v>42</v>
      </c>
      <c r="K74" t="s">
        <v>19</v>
      </c>
      <c r="L74">
        <v>2</v>
      </c>
    </row>
    <row r="75" spans="1:12" x14ac:dyDescent="0.25">
      <c r="A75" t="s">
        <v>212</v>
      </c>
      <c r="B75" t="s">
        <v>213</v>
      </c>
      <c r="C75">
        <v>43</v>
      </c>
      <c r="D75" t="s">
        <v>14</v>
      </c>
      <c r="E75" t="s">
        <v>45</v>
      </c>
      <c r="F75" t="s">
        <v>136</v>
      </c>
      <c r="G75" t="s">
        <v>191</v>
      </c>
      <c r="H75">
        <v>1451847</v>
      </c>
      <c r="I75">
        <v>14</v>
      </c>
      <c r="J75" t="s">
        <v>71</v>
      </c>
      <c r="K75" t="s">
        <v>25</v>
      </c>
      <c r="L75">
        <v>3</v>
      </c>
    </row>
    <row r="76" spans="1:12" x14ac:dyDescent="0.25">
      <c r="A76" t="s">
        <v>214</v>
      </c>
      <c r="B76" t="s">
        <v>215</v>
      </c>
      <c r="C76">
        <v>28</v>
      </c>
      <c r="D76" t="s">
        <v>14</v>
      </c>
      <c r="E76" t="s">
        <v>78</v>
      </c>
      <c r="F76" t="s">
        <v>16</v>
      </c>
      <c r="G76" t="s">
        <v>24</v>
      </c>
      <c r="H76">
        <v>620427</v>
      </c>
      <c r="I76">
        <v>1</v>
      </c>
      <c r="J76" t="s">
        <v>18</v>
      </c>
      <c r="K76" t="s">
        <v>19</v>
      </c>
      <c r="L76">
        <v>4</v>
      </c>
    </row>
    <row r="77" spans="1:12" x14ac:dyDescent="0.25">
      <c r="A77" t="s">
        <v>216</v>
      </c>
      <c r="B77" t="s">
        <v>217</v>
      </c>
      <c r="C77">
        <v>28</v>
      </c>
      <c r="D77" t="s">
        <v>14</v>
      </c>
      <c r="E77" t="s">
        <v>39</v>
      </c>
      <c r="F77" t="s">
        <v>16</v>
      </c>
      <c r="G77" t="s">
        <v>17</v>
      </c>
      <c r="H77">
        <v>975478</v>
      </c>
      <c r="I77">
        <v>4</v>
      </c>
      <c r="J77" t="s">
        <v>18</v>
      </c>
      <c r="K77" t="s">
        <v>25</v>
      </c>
      <c r="L77">
        <v>5</v>
      </c>
    </row>
    <row r="78" spans="1:12" x14ac:dyDescent="0.25">
      <c r="A78" t="s">
        <v>218</v>
      </c>
      <c r="B78" t="s">
        <v>53</v>
      </c>
      <c r="C78">
        <v>26</v>
      </c>
      <c r="D78" t="s">
        <v>22</v>
      </c>
      <c r="E78" t="s">
        <v>31</v>
      </c>
      <c r="F78" t="s">
        <v>32</v>
      </c>
      <c r="G78" t="s">
        <v>129</v>
      </c>
      <c r="H78">
        <v>1881398</v>
      </c>
      <c r="I78">
        <v>1</v>
      </c>
      <c r="J78" t="s">
        <v>145</v>
      </c>
      <c r="K78" t="s">
        <v>25</v>
      </c>
      <c r="L78">
        <v>3</v>
      </c>
    </row>
    <row r="79" spans="1:12" x14ac:dyDescent="0.25">
      <c r="A79" t="s">
        <v>219</v>
      </c>
      <c r="B79" t="s">
        <v>220</v>
      </c>
      <c r="C79">
        <v>43</v>
      </c>
      <c r="D79" t="s">
        <v>14</v>
      </c>
      <c r="E79" t="s">
        <v>78</v>
      </c>
      <c r="F79" t="s">
        <v>32</v>
      </c>
      <c r="G79" t="s">
        <v>221</v>
      </c>
      <c r="H79">
        <v>1355060</v>
      </c>
      <c r="I79">
        <v>9</v>
      </c>
      <c r="J79" t="s">
        <v>18</v>
      </c>
      <c r="K79" t="s">
        <v>25</v>
      </c>
      <c r="L79">
        <v>2</v>
      </c>
    </row>
    <row r="80" spans="1:12" x14ac:dyDescent="0.25">
      <c r="A80" t="s">
        <v>222</v>
      </c>
      <c r="B80" t="s">
        <v>223</v>
      </c>
      <c r="C80">
        <v>24</v>
      </c>
      <c r="D80" t="s">
        <v>14</v>
      </c>
      <c r="E80" t="s">
        <v>15</v>
      </c>
      <c r="F80" t="s">
        <v>32</v>
      </c>
      <c r="G80" t="s">
        <v>33</v>
      </c>
      <c r="H80">
        <v>1046630</v>
      </c>
      <c r="I80">
        <v>2</v>
      </c>
      <c r="J80" t="s">
        <v>42</v>
      </c>
      <c r="K80" t="s">
        <v>19</v>
      </c>
      <c r="L80">
        <v>2</v>
      </c>
    </row>
    <row r="81" spans="1:12" x14ac:dyDescent="0.25">
      <c r="A81" t="s">
        <v>224</v>
      </c>
      <c r="B81" t="s">
        <v>225</v>
      </c>
      <c r="C81">
        <v>29</v>
      </c>
      <c r="D81" t="s">
        <v>22</v>
      </c>
      <c r="E81" t="s">
        <v>15</v>
      </c>
      <c r="F81" t="s">
        <v>40</v>
      </c>
      <c r="G81" t="s">
        <v>82</v>
      </c>
      <c r="H81">
        <v>863079</v>
      </c>
      <c r="I81">
        <v>7</v>
      </c>
      <c r="J81" t="s">
        <v>36</v>
      </c>
      <c r="K81" t="s">
        <v>25</v>
      </c>
      <c r="L81">
        <v>4</v>
      </c>
    </row>
    <row r="82" spans="1:12" x14ac:dyDescent="0.25">
      <c r="A82" t="s">
        <v>226</v>
      </c>
      <c r="B82" t="s">
        <v>227</v>
      </c>
      <c r="C82">
        <v>21</v>
      </c>
      <c r="D82" t="s">
        <v>14</v>
      </c>
      <c r="E82" t="s">
        <v>23</v>
      </c>
      <c r="F82" t="s">
        <v>46</v>
      </c>
      <c r="G82" t="s">
        <v>116</v>
      </c>
      <c r="H82">
        <v>1290275</v>
      </c>
      <c r="I82">
        <v>0</v>
      </c>
      <c r="J82" t="s">
        <v>36</v>
      </c>
      <c r="K82" t="s">
        <v>19</v>
      </c>
      <c r="L82">
        <v>2</v>
      </c>
    </row>
    <row r="83" spans="1:12" x14ac:dyDescent="0.25">
      <c r="A83" t="s">
        <v>228</v>
      </c>
      <c r="B83" t="s">
        <v>229</v>
      </c>
      <c r="C83">
        <v>32</v>
      </c>
      <c r="D83" t="s">
        <v>22</v>
      </c>
      <c r="E83" t="s">
        <v>23</v>
      </c>
      <c r="F83" t="s">
        <v>16</v>
      </c>
      <c r="G83" t="s">
        <v>24</v>
      </c>
      <c r="H83">
        <v>1177897</v>
      </c>
      <c r="I83">
        <v>9</v>
      </c>
      <c r="J83" t="s">
        <v>36</v>
      </c>
      <c r="K83" t="s">
        <v>25</v>
      </c>
      <c r="L83">
        <v>3</v>
      </c>
    </row>
    <row r="84" spans="1:12" x14ac:dyDescent="0.25">
      <c r="A84" t="s">
        <v>230</v>
      </c>
      <c r="B84" t="s">
        <v>231</v>
      </c>
      <c r="C84">
        <v>35</v>
      </c>
      <c r="D84" t="s">
        <v>14</v>
      </c>
      <c r="E84" t="s">
        <v>15</v>
      </c>
      <c r="F84" t="s">
        <v>32</v>
      </c>
      <c r="G84" t="s">
        <v>129</v>
      </c>
      <c r="H84">
        <v>1878181</v>
      </c>
      <c r="I84">
        <v>10</v>
      </c>
      <c r="J84" t="s">
        <v>18</v>
      </c>
      <c r="K84" t="s">
        <v>25</v>
      </c>
      <c r="L84">
        <v>4</v>
      </c>
    </row>
    <row r="85" spans="1:12" x14ac:dyDescent="0.25">
      <c r="A85" t="s">
        <v>232</v>
      </c>
      <c r="B85" t="s">
        <v>233</v>
      </c>
      <c r="C85">
        <v>38</v>
      </c>
      <c r="D85" t="s">
        <v>14</v>
      </c>
      <c r="E85" t="s">
        <v>15</v>
      </c>
      <c r="F85" t="s">
        <v>54</v>
      </c>
      <c r="G85" t="s">
        <v>88</v>
      </c>
      <c r="H85">
        <v>848363</v>
      </c>
      <c r="I85">
        <v>3</v>
      </c>
      <c r="J85" t="s">
        <v>42</v>
      </c>
      <c r="K85" t="s">
        <v>25</v>
      </c>
      <c r="L85">
        <v>3</v>
      </c>
    </row>
    <row r="86" spans="1:12" x14ac:dyDescent="0.25">
      <c r="A86" t="s">
        <v>234</v>
      </c>
      <c r="B86" t="s">
        <v>235</v>
      </c>
      <c r="C86">
        <v>38</v>
      </c>
      <c r="D86" t="s">
        <v>14</v>
      </c>
      <c r="E86" t="s">
        <v>28</v>
      </c>
      <c r="F86" t="s">
        <v>32</v>
      </c>
      <c r="G86" t="s">
        <v>129</v>
      </c>
      <c r="H86">
        <v>1872367</v>
      </c>
      <c r="I86">
        <v>9</v>
      </c>
      <c r="J86" t="s">
        <v>18</v>
      </c>
      <c r="K86" t="s">
        <v>25</v>
      </c>
      <c r="L86">
        <v>3</v>
      </c>
    </row>
    <row r="87" spans="1:12" x14ac:dyDescent="0.25">
      <c r="A87" t="s">
        <v>236</v>
      </c>
      <c r="B87" t="s">
        <v>237</v>
      </c>
      <c r="C87">
        <v>35</v>
      </c>
      <c r="D87" t="s">
        <v>22</v>
      </c>
      <c r="E87" t="s">
        <v>28</v>
      </c>
      <c r="F87" t="s">
        <v>74</v>
      </c>
      <c r="G87" t="s">
        <v>238</v>
      </c>
      <c r="H87">
        <v>1139362</v>
      </c>
      <c r="I87">
        <v>9</v>
      </c>
      <c r="J87" t="s">
        <v>36</v>
      </c>
      <c r="K87" t="s">
        <v>25</v>
      </c>
      <c r="L87">
        <v>2</v>
      </c>
    </row>
    <row r="88" spans="1:12" x14ac:dyDescent="0.25">
      <c r="A88" t="s">
        <v>239</v>
      </c>
      <c r="B88" t="s">
        <v>240</v>
      </c>
      <c r="C88">
        <v>42</v>
      </c>
      <c r="D88" t="s">
        <v>14</v>
      </c>
      <c r="E88" t="s">
        <v>15</v>
      </c>
      <c r="F88" t="s">
        <v>74</v>
      </c>
      <c r="G88" t="s">
        <v>238</v>
      </c>
      <c r="H88">
        <v>1085827</v>
      </c>
      <c r="I88">
        <v>12</v>
      </c>
      <c r="J88" t="s">
        <v>18</v>
      </c>
      <c r="K88" t="s">
        <v>19</v>
      </c>
      <c r="L88">
        <v>2</v>
      </c>
    </row>
    <row r="89" spans="1:12" x14ac:dyDescent="0.25">
      <c r="A89" t="s">
        <v>241</v>
      </c>
      <c r="B89" t="s">
        <v>225</v>
      </c>
      <c r="C89">
        <v>28</v>
      </c>
      <c r="D89" t="s">
        <v>22</v>
      </c>
      <c r="E89" t="s">
        <v>45</v>
      </c>
      <c r="F89" t="s">
        <v>54</v>
      </c>
      <c r="G89" t="s">
        <v>88</v>
      </c>
      <c r="H89">
        <v>1137007</v>
      </c>
      <c r="I89">
        <v>6</v>
      </c>
      <c r="J89" t="s">
        <v>42</v>
      </c>
      <c r="K89" t="s">
        <v>25</v>
      </c>
      <c r="L89">
        <v>3</v>
      </c>
    </row>
    <row r="90" spans="1:12" x14ac:dyDescent="0.25">
      <c r="A90" t="s">
        <v>242</v>
      </c>
      <c r="B90" t="s">
        <v>243</v>
      </c>
      <c r="C90">
        <v>33</v>
      </c>
      <c r="D90" t="s">
        <v>14</v>
      </c>
      <c r="E90" t="s">
        <v>85</v>
      </c>
      <c r="F90" t="s">
        <v>136</v>
      </c>
      <c r="G90" t="s">
        <v>142</v>
      </c>
      <c r="H90">
        <v>1061247</v>
      </c>
      <c r="I90">
        <v>9</v>
      </c>
      <c r="J90" t="s">
        <v>42</v>
      </c>
      <c r="K90" t="s">
        <v>19</v>
      </c>
      <c r="L90">
        <v>3</v>
      </c>
    </row>
    <row r="91" spans="1:12" x14ac:dyDescent="0.25">
      <c r="A91" t="s">
        <v>244</v>
      </c>
      <c r="B91" t="s">
        <v>65</v>
      </c>
      <c r="C91">
        <v>50</v>
      </c>
      <c r="D91" t="s">
        <v>22</v>
      </c>
      <c r="E91" t="s">
        <v>31</v>
      </c>
      <c r="F91" t="s">
        <v>54</v>
      </c>
      <c r="G91" t="s">
        <v>70</v>
      </c>
      <c r="H91">
        <v>1285318</v>
      </c>
      <c r="I91">
        <v>16</v>
      </c>
      <c r="J91" t="s">
        <v>71</v>
      </c>
      <c r="K91" t="s">
        <v>25</v>
      </c>
      <c r="L91">
        <v>3</v>
      </c>
    </row>
    <row r="92" spans="1:12" x14ac:dyDescent="0.25">
      <c r="A92" t="s">
        <v>245</v>
      </c>
      <c r="B92" t="s">
        <v>246</v>
      </c>
      <c r="C92">
        <v>22</v>
      </c>
      <c r="D92" t="s">
        <v>14</v>
      </c>
      <c r="E92" t="s">
        <v>28</v>
      </c>
      <c r="F92" t="s">
        <v>54</v>
      </c>
      <c r="G92" t="s">
        <v>88</v>
      </c>
      <c r="H92">
        <v>661879</v>
      </c>
      <c r="I92">
        <v>1</v>
      </c>
      <c r="J92" t="s">
        <v>71</v>
      </c>
      <c r="K92" t="s">
        <v>25</v>
      </c>
      <c r="L92">
        <v>2</v>
      </c>
    </row>
    <row r="93" spans="1:12" x14ac:dyDescent="0.25">
      <c r="A93" t="s">
        <v>247</v>
      </c>
      <c r="B93" t="s">
        <v>248</v>
      </c>
      <c r="C93">
        <v>37</v>
      </c>
      <c r="D93" t="s">
        <v>22</v>
      </c>
      <c r="E93" t="s">
        <v>78</v>
      </c>
      <c r="F93" t="s">
        <v>32</v>
      </c>
      <c r="G93" t="s">
        <v>107</v>
      </c>
      <c r="H93">
        <v>1570977</v>
      </c>
      <c r="I93">
        <v>8</v>
      </c>
      <c r="J93" t="s">
        <v>18</v>
      </c>
      <c r="K93" t="s">
        <v>25</v>
      </c>
      <c r="L93">
        <v>2</v>
      </c>
    </row>
    <row r="94" spans="1:12" x14ac:dyDescent="0.25">
      <c r="A94" t="s">
        <v>249</v>
      </c>
      <c r="B94" t="s">
        <v>250</v>
      </c>
      <c r="C94">
        <v>37</v>
      </c>
      <c r="D94" t="s">
        <v>22</v>
      </c>
      <c r="E94" t="s">
        <v>23</v>
      </c>
      <c r="F94" t="s">
        <v>74</v>
      </c>
      <c r="G94" t="s">
        <v>251</v>
      </c>
      <c r="H94">
        <v>684311</v>
      </c>
      <c r="I94">
        <v>1</v>
      </c>
      <c r="J94" t="s">
        <v>18</v>
      </c>
      <c r="K94" t="s">
        <v>19</v>
      </c>
      <c r="L94">
        <v>3</v>
      </c>
    </row>
    <row r="95" spans="1:12" x14ac:dyDescent="0.25">
      <c r="A95" t="s">
        <v>252</v>
      </c>
      <c r="B95" t="s">
        <v>253</v>
      </c>
      <c r="C95">
        <v>26</v>
      </c>
      <c r="D95" t="s">
        <v>14</v>
      </c>
      <c r="E95" t="s">
        <v>85</v>
      </c>
      <c r="F95" t="s">
        <v>32</v>
      </c>
      <c r="G95" t="s">
        <v>107</v>
      </c>
      <c r="H95">
        <v>1177954</v>
      </c>
      <c r="I95">
        <v>2</v>
      </c>
      <c r="J95" t="s">
        <v>18</v>
      </c>
      <c r="K95" t="s">
        <v>25</v>
      </c>
      <c r="L95">
        <v>4</v>
      </c>
    </row>
    <row r="96" spans="1:12" x14ac:dyDescent="0.25">
      <c r="A96" t="s">
        <v>254</v>
      </c>
      <c r="B96" t="s">
        <v>255</v>
      </c>
      <c r="C96">
        <v>24</v>
      </c>
      <c r="D96" t="s">
        <v>22</v>
      </c>
      <c r="E96" t="s">
        <v>45</v>
      </c>
      <c r="F96" t="s">
        <v>46</v>
      </c>
      <c r="G96" t="s">
        <v>113</v>
      </c>
      <c r="H96">
        <v>1013080</v>
      </c>
      <c r="I96">
        <v>3</v>
      </c>
      <c r="J96" t="s">
        <v>18</v>
      </c>
      <c r="K96" t="s">
        <v>25</v>
      </c>
      <c r="L96">
        <v>5</v>
      </c>
    </row>
    <row r="97" spans="1:12" x14ac:dyDescent="0.25">
      <c r="A97" t="s">
        <v>256</v>
      </c>
      <c r="B97" t="s">
        <v>257</v>
      </c>
      <c r="C97">
        <v>30</v>
      </c>
      <c r="D97" t="s">
        <v>22</v>
      </c>
      <c r="E97" t="s">
        <v>78</v>
      </c>
      <c r="F97" t="s">
        <v>40</v>
      </c>
      <c r="G97" t="s">
        <v>58</v>
      </c>
      <c r="H97">
        <v>627828</v>
      </c>
      <c r="I97">
        <v>4</v>
      </c>
      <c r="J97" t="s">
        <v>71</v>
      </c>
      <c r="K97" t="s">
        <v>25</v>
      </c>
      <c r="L97">
        <v>3</v>
      </c>
    </row>
    <row r="98" spans="1:12" x14ac:dyDescent="0.25">
      <c r="A98" t="s">
        <v>258</v>
      </c>
      <c r="B98" t="s">
        <v>213</v>
      </c>
      <c r="C98">
        <v>49</v>
      </c>
      <c r="D98" t="s">
        <v>14</v>
      </c>
      <c r="E98" t="s">
        <v>85</v>
      </c>
      <c r="F98" t="s">
        <v>66</v>
      </c>
      <c r="G98" t="s">
        <v>101</v>
      </c>
      <c r="H98">
        <v>1606972</v>
      </c>
      <c r="I98">
        <v>12</v>
      </c>
      <c r="J98" t="s">
        <v>36</v>
      </c>
      <c r="K98" t="s">
        <v>25</v>
      </c>
      <c r="L98">
        <v>3</v>
      </c>
    </row>
    <row r="99" spans="1:12" x14ac:dyDescent="0.25">
      <c r="A99" t="s">
        <v>259</v>
      </c>
      <c r="B99" t="s">
        <v>260</v>
      </c>
      <c r="C99">
        <v>21</v>
      </c>
      <c r="D99" t="s">
        <v>14</v>
      </c>
      <c r="E99" t="s">
        <v>61</v>
      </c>
      <c r="F99" t="s">
        <v>74</v>
      </c>
      <c r="G99" t="s">
        <v>238</v>
      </c>
      <c r="H99">
        <v>346570</v>
      </c>
      <c r="I99">
        <v>0</v>
      </c>
      <c r="J99" t="s">
        <v>71</v>
      </c>
      <c r="K99" t="s">
        <v>19</v>
      </c>
      <c r="L99">
        <v>3</v>
      </c>
    </row>
    <row r="100" spans="1:12" x14ac:dyDescent="0.25">
      <c r="A100" t="s">
        <v>261</v>
      </c>
      <c r="B100" t="s">
        <v>262</v>
      </c>
      <c r="C100">
        <v>29</v>
      </c>
      <c r="D100" t="s">
        <v>22</v>
      </c>
      <c r="E100" t="s">
        <v>78</v>
      </c>
      <c r="F100" t="s">
        <v>16</v>
      </c>
      <c r="G100" t="s">
        <v>24</v>
      </c>
      <c r="H100">
        <v>921970</v>
      </c>
      <c r="I100">
        <v>4</v>
      </c>
      <c r="J100" t="s">
        <v>36</v>
      </c>
      <c r="K100" t="s">
        <v>25</v>
      </c>
      <c r="L100">
        <v>3</v>
      </c>
    </row>
    <row r="101" spans="1:12" x14ac:dyDescent="0.25">
      <c r="A101" t="s">
        <v>263</v>
      </c>
      <c r="B101" t="s">
        <v>264</v>
      </c>
      <c r="C101">
        <v>32</v>
      </c>
      <c r="D101" t="s">
        <v>22</v>
      </c>
      <c r="E101" t="s">
        <v>28</v>
      </c>
      <c r="F101" t="s">
        <v>32</v>
      </c>
      <c r="G101" t="s">
        <v>107</v>
      </c>
      <c r="H101">
        <v>1336543</v>
      </c>
      <c r="I101">
        <v>4</v>
      </c>
      <c r="J101" t="s">
        <v>18</v>
      </c>
      <c r="K101" t="s">
        <v>25</v>
      </c>
      <c r="L101">
        <v>2</v>
      </c>
    </row>
    <row r="102" spans="1:12" x14ac:dyDescent="0.25">
      <c r="A102" t="s">
        <v>265</v>
      </c>
      <c r="B102" t="s">
        <v>266</v>
      </c>
      <c r="C102">
        <v>33</v>
      </c>
      <c r="D102" t="s">
        <v>22</v>
      </c>
      <c r="E102" t="s">
        <v>15</v>
      </c>
      <c r="F102" t="s">
        <v>136</v>
      </c>
      <c r="G102" t="s">
        <v>207</v>
      </c>
      <c r="H102">
        <v>1025849</v>
      </c>
      <c r="I102">
        <v>7</v>
      </c>
      <c r="J102" t="s">
        <v>42</v>
      </c>
      <c r="K102" t="s">
        <v>19</v>
      </c>
      <c r="L102">
        <v>4</v>
      </c>
    </row>
    <row r="103" spans="1:12" x14ac:dyDescent="0.25">
      <c r="A103" t="s">
        <v>267</v>
      </c>
      <c r="B103" t="s">
        <v>268</v>
      </c>
      <c r="C103">
        <v>25</v>
      </c>
      <c r="D103" t="s">
        <v>14</v>
      </c>
      <c r="E103" t="s">
        <v>31</v>
      </c>
      <c r="F103" t="s">
        <v>136</v>
      </c>
      <c r="G103" t="s">
        <v>142</v>
      </c>
      <c r="H103">
        <v>792399</v>
      </c>
      <c r="I103">
        <v>3</v>
      </c>
      <c r="J103" t="s">
        <v>145</v>
      </c>
      <c r="K103" t="s">
        <v>25</v>
      </c>
      <c r="L103">
        <v>4</v>
      </c>
    </row>
    <row r="104" spans="1:12" x14ac:dyDescent="0.25">
      <c r="A104" t="s">
        <v>269</v>
      </c>
      <c r="B104" t="s">
        <v>270</v>
      </c>
      <c r="C104">
        <v>41</v>
      </c>
      <c r="D104" t="s">
        <v>14</v>
      </c>
      <c r="E104" t="s">
        <v>23</v>
      </c>
      <c r="F104" t="s">
        <v>40</v>
      </c>
      <c r="G104" t="s">
        <v>41</v>
      </c>
      <c r="H104">
        <v>907202</v>
      </c>
      <c r="I104">
        <v>5</v>
      </c>
      <c r="J104" t="s">
        <v>42</v>
      </c>
      <c r="K104" t="s">
        <v>25</v>
      </c>
      <c r="L104">
        <v>3</v>
      </c>
    </row>
    <row r="105" spans="1:12" x14ac:dyDescent="0.25">
      <c r="A105" t="s">
        <v>271</v>
      </c>
      <c r="B105" t="s">
        <v>272</v>
      </c>
      <c r="C105">
        <v>21</v>
      </c>
      <c r="D105" t="s">
        <v>22</v>
      </c>
      <c r="E105" t="s">
        <v>15</v>
      </c>
      <c r="F105" t="s">
        <v>74</v>
      </c>
      <c r="G105" t="s">
        <v>75</v>
      </c>
      <c r="H105">
        <v>560922</v>
      </c>
      <c r="I105">
        <v>0</v>
      </c>
      <c r="J105" t="s">
        <v>18</v>
      </c>
      <c r="K105" t="s">
        <v>25</v>
      </c>
      <c r="L105">
        <v>4</v>
      </c>
    </row>
    <row r="106" spans="1:12" x14ac:dyDescent="0.25">
      <c r="A106" t="s">
        <v>273</v>
      </c>
      <c r="B106" t="s">
        <v>274</v>
      </c>
      <c r="C106">
        <v>47</v>
      </c>
      <c r="D106" t="s">
        <v>14</v>
      </c>
      <c r="E106" t="s">
        <v>45</v>
      </c>
      <c r="F106" t="s">
        <v>40</v>
      </c>
      <c r="G106" t="s">
        <v>58</v>
      </c>
      <c r="H106">
        <v>1104039</v>
      </c>
      <c r="I106">
        <v>16</v>
      </c>
      <c r="J106" t="s">
        <v>18</v>
      </c>
      <c r="K106" t="s">
        <v>19</v>
      </c>
      <c r="L106">
        <v>3</v>
      </c>
    </row>
    <row r="107" spans="1:12" x14ac:dyDescent="0.25">
      <c r="A107" t="s">
        <v>275</v>
      </c>
      <c r="B107" t="s">
        <v>276</v>
      </c>
      <c r="C107">
        <v>32</v>
      </c>
      <c r="D107" t="s">
        <v>22</v>
      </c>
      <c r="E107" t="s">
        <v>39</v>
      </c>
      <c r="F107" t="s">
        <v>40</v>
      </c>
      <c r="G107" t="s">
        <v>98</v>
      </c>
      <c r="H107">
        <v>1044446</v>
      </c>
      <c r="I107">
        <v>6</v>
      </c>
      <c r="J107" t="s">
        <v>42</v>
      </c>
      <c r="K107" t="s">
        <v>25</v>
      </c>
      <c r="L107">
        <v>3</v>
      </c>
    </row>
    <row r="108" spans="1:12" x14ac:dyDescent="0.25">
      <c r="A108" t="s">
        <v>277</v>
      </c>
      <c r="B108" t="s">
        <v>278</v>
      </c>
      <c r="C108">
        <v>43</v>
      </c>
      <c r="D108" t="s">
        <v>14</v>
      </c>
      <c r="E108" t="s">
        <v>39</v>
      </c>
      <c r="F108" t="s">
        <v>32</v>
      </c>
      <c r="G108" t="s">
        <v>129</v>
      </c>
      <c r="H108">
        <v>2158270</v>
      </c>
      <c r="I108">
        <v>16</v>
      </c>
      <c r="J108" t="s">
        <v>18</v>
      </c>
      <c r="K108" t="s">
        <v>25</v>
      </c>
      <c r="L108">
        <v>3</v>
      </c>
    </row>
    <row r="109" spans="1:12" x14ac:dyDescent="0.25">
      <c r="A109" t="s">
        <v>279</v>
      </c>
      <c r="B109" t="s">
        <v>280</v>
      </c>
      <c r="C109">
        <v>37</v>
      </c>
      <c r="D109" t="s">
        <v>14</v>
      </c>
      <c r="E109" t="s">
        <v>45</v>
      </c>
      <c r="F109" t="s">
        <v>16</v>
      </c>
      <c r="G109" t="s">
        <v>24</v>
      </c>
      <c r="H109">
        <v>1104683</v>
      </c>
      <c r="I109">
        <v>10</v>
      </c>
      <c r="J109" t="s">
        <v>42</v>
      </c>
      <c r="K109" t="s">
        <v>25</v>
      </c>
      <c r="L109">
        <v>3</v>
      </c>
    </row>
    <row r="110" spans="1:12" x14ac:dyDescent="0.25">
      <c r="A110" t="s">
        <v>281</v>
      </c>
      <c r="B110" t="s">
        <v>282</v>
      </c>
      <c r="C110">
        <v>41</v>
      </c>
      <c r="D110" t="s">
        <v>14</v>
      </c>
      <c r="E110" t="s">
        <v>45</v>
      </c>
      <c r="F110" t="s">
        <v>40</v>
      </c>
      <c r="G110" t="s">
        <v>58</v>
      </c>
      <c r="H110">
        <v>1117318</v>
      </c>
      <c r="I110">
        <v>8</v>
      </c>
      <c r="J110" t="s">
        <v>42</v>
      </c>
      <c r="K110" t="s">
        <v>25</v>
      </c>
      <c r="L110">
        <v>4</v>
      </c>
    </row>
    <row r="111" spans="1:12" x14ac:dyDescent="0.25">
      <c r="A111" t="s">
        <v>283</v>
      </c>
      <c r="B111" t="s">
        <v>284</v>
      </c>
      <c r="C111">
        <v>29</v>
      </c>
      <c r="D111" t="s">
        <v>14</v>
      </c>
      <c r="E111" t="s">
        <v>78</v>
      </c>
      <c r="F111" t="s">
        <v>32</v>
      </c>
      <c r="G111" t="s">
        <v>33</v>
      </c>
      <c r="H111">
        <v>1070980</v>
      </c>
      <c r="I111">
        <v>2</v>
      </c>
      <c r="J111" t="s">
        <v>42</v>
      </c>
      <c r="K111" t="s">
        <v>25</v>
      </c>
      <c r="L111">
        <v>3</v>
      </c>
    </row>
    <row r="112" spans="1:12" x14ac:dyDescent="0.25">
      <c r="A112" t="s">
        <v>285</v>
      </c>
      <c r="B112" t="s">
        <v>286</v>
      </c>
      <c r="C112">
        <v>33</v>
      </c>
      <c r="D112" t="s">
        <v>14</v>
      </c>
      <c r="E112" t="s">
        <v>15</v>
      </c>
      <c r="F112" t="s">
        <v>32</v>
      </c>
      <c r="G112" t="s">
        <v>33</v>
      </c>
      <c r="H112">
        <v>1054784</v>
      </c>
      <c r="I112">
        <v>5</v>
      </c>
      <c r="J112" t="s">
        <v>42</v>
      </c>
      <c r="K112" t="s">
        <v>25</v>
      </c>
      <c r="L112">
        <v>4</v>
      </c>
    </row>
    <row r="113" spans="1:12" x14ac:dyDescent="0.25">
      <c r="A113" t="s">
        <v>287</v>
      </c>
      <c r="B113" t="s">
        <v>288</v>
      </c>
      <c r="C113">
        <v>29</v>
      </c>
      <c r="D113" t="s">
        <v>22</v>
      </c>
      <c r="E113" t="s">
        <v>15</v>
      </c>
      <c r="F113" t="s">
        <v>136</v>
      </c>
      <c r="G113" t="s">
        <v>137</v>
      </c>
      <c r="H113">
        <v>1036679</v>
      </c>
      <c r="I113">
        <v>6</v>
      </c>
      <c r="J113" t="s">
        <v>18</v>
      </c>
      <c r="K113" t="s">
        <v>25</v>
      </c>
      <c r="L113">
        <v>4</v>
      </c>
    </row>
    <row r="114" spans="1:12" x14ac:dyDescent="0.25">
      <c r="A114" t="s">
        <v>289</v>
      </c>
      <c r="B114" t="s">
        <v>290</v>
      </c>
      <c r="C114">
        <v>22</v>
      </c>
      <c r="D114" t="s">
        <v>22</v>
      </c>
      <c r="E114" t="s">
        <v>45</v>
      </c>
      <c r="F114" t="s">
        <v>32</v>
      </c>
      <c r="G114" t="s">
        <v>129</v>
      </c>
      <c r="H114">
        <v>1626002</v>
      </c>
      <c r="I114">
        <v>0</v>
      </c>
      <c r="J114" t="s">
        <v>36</v>
      </c>
      <c r="K114" t="s">
        <v>25</v>
      </c>
      <c r="L114">
        <v>3</v>
      </c>
    </row>
    <row r="115" spans="1:12" x14ac:dyDescent="0.25">
      <c r="A115" t="s">
        <v>291</v>
      </c>
      <c r="B115" t="s">
        <v>292</v>
      </c>
      <c r="C115">
        <v>36</v>
      </c>
      <c r="D115" t="s">
        <v>22</v>
      </c>
      <c r="E115" t="s">
        <v>39</v>
      </c>
      <c r="F115" t="s">
        <v>40</v>
      </c>
      <c r="G115" t="s">
        <v>41</v>
      </c>
      <c r="H115">
        <v>660513</v>
      </c>
      <c r="I115">
        <v>8</v>
      </c>
      <c r="J115" t="s">
        <v>71</v>
      </c>
      <c r="K115" t="s">
        <v>19</v>
      </c>
      <c r="L115">
        <v>4</v>
      </c>
    </row>
    <row r="116" spans="1:12" x14ac:dyDescent="0.25">
      <c r="A116" t="s">
        <v>293</v>
      </c>
      <c r="B116" t="s">
        <v>294</v>
      </c>
      <c r="C116">
        <v>37</v>
      </c>
      <c r="D116" t="s">
        <v>22</v>
      </c>
      <c r="E116" t="s">
        <v>28</v>
      </c>
      <c r="F116" t="s">
        <v>66</v>
      </c>
      <c r="G116" t="s">
        <v>67</v>
      </c>
      <c r="H116">
        <v>1195197</v>
      </c>
      <c r="I116">
        <v>9</v>
      </c>
      <c r="J116" t="s">
        <v>36</v>
      </c>
      <c r="K116" t="s">
        <v>25</v>
      </c>
      <c r="L116">
        <v>5</v>
      </c>
    </row>
    <row r="117" spans="1:12" x14ac:dyDescent="0.25">
      <c r="A117" t="s">
        <v>295</v>
      </c>
      <c r="B117" t="s">
        <v>296</v>
      </c>
      <c r="C117">
        <v>30</v>
      </c>
      <c r="D117" t="s">
        <v>14</v>
      </c>
      <c r="E117" t="s">
        <v>45</v>
      </c>
      <c r="F117" t="s">
        <v>40</v>
      </c>
      <c r="G117" t="s">
        <v>98</v>
      </c>
      <c r="H117">
        <v>970178</v>
      </c>
      <c r="I117">
        <v>5</v>
      </c>
      <c r="J117" t="s">
        <v>71</v>
      </c>
      <c r="K117" t="s">
        <v>25</v>
      </c>
      <c r="L117">
        <v>1</v>
      </c>
    </row>
    <row r="118" spans="1:12" x14ac:dyDescent="0.25">
      <c r="A118" t="s">
        <v>297</v>
      </c>
      <c r="B118" t="s">
        <v>298</v>
      </c>
      <c r="C118">
        <v>24</v>
      </c>
      <c r="D118" t="s">
        <v>14</v>
      </c>
      <c r="E118" t="s">
        <v>61</v>
      </c>
      <c r="F118" t="s">
        <v>54</v>
      </c>
      <c r="G118" t="s">
        <v>55</v>
      </c>
      <c r="H118">
        <v>1047131</v>
      </c>
      <c r="I118">
        <v>3</v>
      </c>
      <c r="J118" t="s">
        <v>18</v>
      </c>
      <c r="K118" t="s">
        <v>25</v>
      </c>
      <c r="L118">
        <v>4</v>
      </c>
    </row>
    <row r="119" spans="1:12" x14ac:dyDescent="0.25">
      <c r="A119" t="s">
        <v>299</v>
      </c>
      <c r="B119" t="s">
        <v>300</v>
      </c>
      <c r="C119">
        <v>21</v>
      </c>
      <c r="D119" t="s">
        <v>22</v>
      </c>
      <c r="E119" t="s">
        <v>85</v>
      </c>
      <c r="F119" t="s">
        <v>40</v>
      </c>
      <c r="G119" t="s">
        <v>82</v>
      </c>
      <c r="H119">
        <v>580066</v>
      </c>
      <c r="I119">
        <v>0</v>
      </c>
      <c r="J119" t="s">
        <v>18</v>
      </c>
      <c r="K119" t="s">
        <v>19</v>
      </c>
      <c r="L119">
        <v>4</v>
      </c>
    </row>
    <row r="120" spans="1:12" x14ac:dyDescent="0.25">
      <c r="A120" t="s">
        <v>301</v>
      </c>
      <c r="B120" t="s">
        <v>302</v>
      </c>
      <c r="C120">
        <v>36</v>
      </c>
      <c r="D120" t="s">
        <v>22</v>
      </c>
      <c r="E120" t="s">
        <v>39</v>
      </c>
      <c r="F120" t="s">
        <v>54</v>
      </c>
      <c r="G120" t="s">
        <v>70</v>
      </c>
      <c r="H120">
        <v>970085</v>
      </c>
      <c r="I120">
        <v>8</v>
      </c>
      <c r="J120" t="s">
        <v>71</v>
      </c>
      <c r="K120" t="s">
        <v>25</v>
      </c>
      <c r="L120">
        <v>3</v>
      </c>
    </row>
    <row r="121" spans="1:12" x14ac:dyDescent="0.25">
      <c r="A121" t="s">
        <v>303</v>
      </c>
      <c r="B121" t="s">
        <v>73</v>
      </c>
      <c r="C121">
        <v>27</v>
      </c>
      <c r="D121" t="s">
        <v>22</v>
      </c>
      <c r="E121" t="s">
        <v>15</v>
      </c>
      <c r="F121" t="s">
        <v>136</v>
      </c>
      <c r="G121" t="s">
        <v>191</v>
      </c>
      <c r="H121">
        <v>975804</v>
      </c>
      <c r="I121">
        <v>1</v>
      </c>
      <c r="J121" t="s">
        <v>36</v>
      </c>
      <c r="K121" t="s">
        <v>19</v>
      </c>
      <c r="L121">
        <v>3</v>
      </c>
    </row>
    <row r="122" spans="1:12" x14ac:dyDescent="0.25">
      <c r="A122" t="s">
        <v>304</v>
      </c>
      <c r="B122" t="s">
        <v>131</v>
      </c>
      <c r="C122">
        <v>24</v>
      </c>
      <c r="D122" t="s">
        <v>14</v>
      </c>
      <c r="E122" t="s">
        <v>28</v>
      </c>
      <c r="F122" t="s">
        <v>40</v>
      </c>
      <c r="G122" t="s">
        <v>82</v>
      </c>
      <c r="H122">
        <v>325968</v>
      </c>
      <c r="I122">
        <v>0</v>
      </c>
      <c r="J122" t="s">
        <v>18</v>
      </c>
      <c r="K122" t="s">
        <v>19</v>
      </c>
      <c r="L122">
        <v>3</v>
      </c>
    </row>
    <row r="123" spans="1:12" x14ac:dyDescent="0.25">
      <c r="A123" t="s">
        <v>305</v>
      </c>
      <c r="B123" t="s">
        <v>306</v>
      </c>
      <c r="C123">
        <v>23</v>
      </c>
      <c r="D123" t="s">
        <v>22</v>
      </c>
      <c r="E123" t="s">
        <v>39</v>
      </c>
      <c r="F123" t="s">
        <v>46</v>
      </c>
      <c r="G123" t="s">
        <v>116</v>
      </c>
      <c r="H123">
        <v>1315741</v>
      </c>
      <c r="I123">
        <v>2</v>
      </c>
      <c r="J123" t="s">
        <v>42</v>
      </c>
      <c r="K123" t="s">
        <v>19</v>
      </c>
      <c r="L123">
        <v>3</v>
      </c>
    </row>
    <row r="124" spans="1:12" x14ac:dyDescent="0.25">
      <c r="A124" t="s">
        <v>307</v>
      </c>
      <c r="B124" t="s">
        <v>308</v>
      </c>
      <c r="C124">
        <v>40</v>
      </c>
      <c r="D124" t="s">
        <v>22</v>
      </c>
      <c r="E124" t="s">
        <v>39</v>
      </c>
      <c r="F124" t="s">
        <v>32</v>
      </c>
      <c r="G124" t="s">
        <v>33</v>
      </c>
      <c r="H124">
        <v>1528421</v>
      </c>
      <c r="I124">
        <v>15</v>
      </c>
      <c r="J124" t="s">
        <v>18</v>
      </c>
      <c r="K124" t="s">
        <v>25</v>
      </c>
      <c r="L124">
        <v>2</v>
      </c>
    </row>
    <row r="125" spans="1:12" x14ac:dyDescent="0.25">
      <c r="A125" t="s">
        <v>309</v>
      </c>
      <c r="B125" t="s">
        <v>310</v>
      </c>
      <c r="C125">
        <v>27</v>
      </c>
      <c r="D125" t="s">
        <v>14</v>
      </c>
      <c r="E125" t="s">
        <v>45</v>
      </c>
      <c r="F125" t="s">
        <v>54</v>
      </c>
      <c r="G125" t="s">
        <v>88</v>
      </c>
      <c r="H125">
        <v>893632</v>
      </c>
      <c r="I125">
        <v>6</v>
      </c>
      <c r="J125" t="s">
        <v>18</v>
      </c>
      <c r="K125" t="s">
        <v>25</v>
      </c>
      <c r="L125">
        <v>4</v>
      </c>
    </row>
    <row r="126" spans="1:12" x14ac:dyDescent="0.25">
      <c r="A126" t="s">
        <v>311</v>
      </c>
      <c r="B126" t="s">
        <v>312</v>
      </c>
      <c r="C126">
        <v>48</v>
      </c>
      <c r="D126" t="s">
        <v>14</v>
      </c>
      <c r="E126" t="s">
        <v>28</v>
      </c>
      <c r="F126" t="s">
        <v>32</v>
      </c>
      <c r="G126" t="s">
        <v>221</v>
      </c>
      <c r="H126">
        <v>1844871</v>
      </c>
      <c r="I126">
        <v>17</v>
      </c>
      <c r="J126" t="s">
        <v>18</v>
      </c>
      <c r="K126" t="s">
        <v>25</v>
      </c>
      <c r="L126">
        <v>2</v>
      </c>
    </row>
    <row r="127" spans="1:12" x14ac:dyDescent="0.25">
      <c r="A127" t="s">
        <v>313</v>
      </c>
      <c r="B127" t="s">
        <v>314</v>
      </c>
      <c r="C127">
        <v>36</v>
      </c>
      <c r="D127" t="s">
        <v>22</v>
      </c>
      <c r="E127" t="s">
        <v>85</v>
      </c>
      <c r="F127" t="s">
        <v>32</v>
      </c>
      <c r="G127" t="s">
        <v>33</v>
      </c>
      <c r="H127">
        <v>1405101</v>
      </c>
      <c r="I127">
        <v>9</v>
      </c>
      <c r="J127" t="s">
        <v>42</v>
      </c>
      <c r="K127" t="s">
        <v>25</v>
      </c>
      <c r="L127">
        <v>2</v>
      </c>
    </row>
    <row r="128" spans="1:12" x14ac:dyDescent="0.25">
      <c r="A128" t="s">
        <v>315</v>
      </c>
      <c r="B128" t="s">
        <v>316</v>
      </c>
      <c r="C128">
        <v>38</v>
      </c>
      <c r="D128" t="s">
        <v>14</v>
      </c>
      <c r="E128" t="s">
        <v>31</v>
      </c>
      <c r="F128" t="s">
        <v>32</v>
      </c>
      <c r="G128" t="s">
        <v>129</v>
      </c>
      <c r="H128">
        <v>1785028</v>
      </c>
      <c r="I128">
        <v>6</v>
      </c>
      <c r="J128" t="s">
        <v>18</v>
      </c>
      <c r="K128" t="s">
        <v>25</v>
      </c>
      <c r="L128">
        <v>2</v>
      </c>
    </row>
    <row r="129" spans="1:12" x14ac:dyDescent="0.25">
      <c r="A129" t="s">
        <v>317</v>
      </c>
      <c r="B129" t="s">
        <v>318</v>
      </c>
      <c r="C129">
        <v>24</v>
      </c>
      <c r="D129" t="s">
        <v>14</v>
      </c>
      <c r="E129" t="s">
        <v>85</v>
      </c>
      <c r="F129" t="s">
        <v>74</v>
      </c>
      <c r="G129" t="s">
        <v>251</v>
      </c>
      <c r="H129">
        <v>612221</v>
      </c>
      <c r="I129">
        <v>3</v>
      </c>
      <c r="J129" t="s">
        <v>18</v>
      </c>
      <c r="K129" t="s">
        <v>25</v>
      </c>
      <c r="L129">
        <v>3</v>
      </c>
    </row>
    <row r="130" spans="1:12" x14ac:dyDescent="0.25">
      <c r="A130" t="s">
        <v>319</v>
      </c>
      <c r="B130" t="s">
        <v>320</v>
      </c>
      <c r="C130">
        <v>33</v>
      </c>
      <c r="D130" t="s">
        <v>14</v>
      </c>
      <c r="E130" t="s">
        <v>39</v>
      </c>
      <c r="F130" t="s">
        <v>32</v>
      </c>
      <c r="G130" t="s">
        <v>79</v>
      </c>
      <c r="H130">
        <v>1564005</v>
      </c>
      <c r="I130">
        <v>7</v>
      </c>
      <c r="J130" t="s">
        <v>36</v>
      </c>
      <c r="K130" t="s">
        <v>25</v>
      </c>
      <c r="L130">
        <v>4</v>
      </c>
    </row>
    <row r="131" spans="1:12" x14ac:dyDescent="0.25">
      <c r="A131" t="s">
        <v>321</v>
      </c>
      <c r="B131" t="s">
        <v>322</v>
      </c>
      <c r="C131">
        <v>37</v>
      </c>
      <c r="D131" t="s">
        <v>22</v>
      </c>
      <c r="E131" t="s">
        <v>61</v>
      </c>
      <c r="F131" t="s">
        <v>16</v>
      </c>
      <c r="G131" t="s">
        <v>126</v>
      </c>
      <c r="H131">
        <v>1498383</v>
      </c>
      <c r="I131">
        <v>12</v>
      </c>
      <c r="J131" t="s">
        <v>36</v>
      </c>
      <c r="K131" t="s">
        <v>19</v>
      </c>
      <c r="L131">
        <v>4</v>
      </c>
    </row>
    <row r="132" spans="1:12" x14ac:dyDescent="0.25">
      <c r="A132" t="s">
        <v>323</v>
      </c>
      <c r="B132" t="s">
        <v>324</v>
      </c>
      <c r="C132">
        <v>29</v>
      </c>
      <c r="D132" t="s">
        <v>22</v>
      </c>
      <c r="E132" t="s">
        <v>15</v>
      </c>
      <c r="F132" t="s">
        <v>54</v>
      </c>
      <c r="G132" t="s">
        <v>119</v>
      </c>
      <c r="H132">
        <v>632642</v>
      </c>
      <c r="I132">
        <v>1</v>
      </c>
      <c r="J132" t="s">
        <v>18</v>
      </c>
      <c r="K132" t="s">
        <v>19</v>
      </c>
      <c r="L132">
        <v>3</v>
      </c>
    </row>
    <row r="133" spans="1:12" x14ac:dyDescent="0.25">
      <c r="A133" t="s">
        <v>325</v>
      </c>
      <c r="B133" t="s">
        <v>326</v>
      </c>
      <c r="C133">
        <v>34</v>
      </c>
      <c r="D133" t="s">
        <v>14</v>
      </c>
      <c r="E133" t="s">
        <v>50</v>
      </c>
      <c r="F133" t="s">
        <v>32</v>
      </c>
      <c r="G133" t="s">
        <v>129</v>
      </c>
      <c r="H133">
        <v>1771679</v>
      </c>
      <c r="I133">
        <v>7</v>
      </c>
      <c r="J133" t="s">
        <v>18</v>
      </c>
      <c r="K133" t="s">
        <v>25</v>
      </c>
      <c r="L133">
        <v>3</v>
      </c>
    </row>
    <row r="134" spans="1:12" x14ac:dyDescent="0.25">
      <c r="A134" t="s">
        <v>327</v>
      </c>
      <c r="B134" t="s">
        <v>328</v>
      </c>
      <c r="C134">
        <v>33</v>
      </c>
      <c r="D134" t="s">
        <v>22</v>
      </c>
      <c r="E134" t="s">
        <v>15</v>
      </c>
      <c r="F134" t="s">
        <v>32</v>
      </c>
      <c r="G134" t="s">
        <v>107</v>
      </c>
      <c r="H134">
        <v>1396308</v>
      </c>
      <c r="I134">
        <v>5</v>
      </c>
      <c r="J134" t="s">
        <v>71</v>
      </c>
      <c r="K134" t="s">
        <v>19</v>
      </c>
      <c r="L134">
        <v>4</v>
      </c>
    </row>
    <row r="135" spans="1:12" x14ac:dyDescent="0.25">
      <c r="A135" t="s">
        <v>329</v>
      </c>
      <c r="B135" t="s">
        <v>330</v>
      </c>
      <c r="C135">
        <v>21</v>
      </c>
      <c r="D135" t="s">
        <v>22</v>
      </c>
      <c r="E135" t="s">
        <v>78</v>
      </c>
      <c r="F135" t="s">
        <v>40</v>
      </c>
      <c r="G135" t="s">
        <v>82</v>
      </c>
      <c r="H135">
        <v>617468</v>
      </c>
      <c r="I135">
        <v>0</v>
      </c>
      <c r="J135" t="s">
        <v>36</v>
      </c>
      <c r="K135" t="s">
        <v>25</v>
      </c>
      <c r="L135">
        <v>2</v>
      </c>
    </row>
    <row r="136" spans="1:12" x14ac:dyDescent="0.25">
      <c r="A136" t="s">
        <v>331</v>
      </c>
      <c r="B136" t="s">
        <v>144</v>
      </c>
      <c r="C136">
        <v>28</v>
      </c>
      <c r="D136" t="s">
        <v>14</v>
      </c>
      <c r="E136" t="s">
        <v>50</v>
      </c>
      <c r="F136" t="s">
        <v>74</v>
      </c>
      <c r="G136" t="s">
        <v>238</v>
      </c>
      <c r="H136">
        <v>593039</v>
      </c>
      <c r="I136">
        <v>4</v>
      </c>
      <c r="J136" t="s">
        <v>71</v>
      </c>
      <c r="K136" t="s">
        <v>19</v>
      </c>
      <c r="L136">
        <v>1</v>
      </c>
    </row>
    <row r="137" spans="1:12" x14ac:dyDescent="0.25">
      <c r="A137" t="s">
        <v>332</v>
      </c>
      <c r="B137" t="s">
        <v>333</v>
      </c>
      <c r="C137">
        <v>28</v>
      </c>
      <c r="D137" t="s">
        <v>14</v>
      </c>
      <c r="E137" t="s">
        <v>50</v>
      </c>
      <c r="F137" t="s">
        <v>54</v>
      </c>
      <c r="G137" t="s">
        <v>119</v>
      </c>
      <c r="H137">
        <v>859082</v>
      </c>
      <c r="I137">
        <v>7</v>
      </c>
      <c r="J137" t="s">
        <v>18</v>
      </c>
      <c r="K137" t="s">
        <v>25</v>
      </c>
      <c r="L137">
        <v>3</v>
      </c>
    </row>
    <row r="138" spans="1:12" x14ac:dyDescent="0.25">
      <c r="A138" t="s">
        <v>334</v>
      </c>
      <c r="B138" t="s">
        <v>335</v>
      </c>
      <c r="C138">
        <v>23</v>
      </c>
      <c r="D138" t="s">
        <v>14</v>
      </c>
      <c r="E138" t="s">
        <v>78</v>
      </c>
      <c r="F138" t="s">
        <v>54</v>
      </c>
      <c r="G138" t="s">
        <v>70</v>
      </c>
      <c r="H138">
        <v>750966</v>
      </c>
      <c r="I138">
        <v>0</v>
      </c>
      <c r="J138" t="s">
        <v>36</v>
      </c>
      <c r="K138" t="s">
        <v>25</v>
      </c>
      <c r="L138">
        <v>3</v>
      </c>
    </row>
    <row r="139" spans="1:12" x14ac:dyDescent="0.25">
      <c r="A139" t="s">
        <v>336</v>
      </c>
      <c r="B139" t="s">
        <v>337</v>
      </c>
      <c r="C139">
        <v>41</v>
      </c>
      <c r="D139" t="s">
        <v>14</v>
      </c>
      <c r="E139" t="s">
        <v>50</v>
      </c>
      <c r="F139" t="s">
        <v>136</v>
      </c>
      <c r="G139" t="s">
        <v>137</v>
      </c>
      <c r="H139">
        <v>1509074</v>
      </c>
      <c r="I139">
        <v>12</v>
      </c>
      <c r="J139" t="s">
        <v>42</v>
      </c>
      <c r="K139" t="s">
        <v>25</v>
      </c>
      <c r="L139">
        <v>3</v>
      </c>
    </row>
    <row r="140" spans="1:12" x14ac:dyDescent="0.25">
      <c r="A140" t="s">
        <v>338</v>
      </c>
      <c r="B140" t="s">
        <v>339</v>
      </c>
      <c r="C140">
        <v>38</v>
      </c>
      <c r="D140" t="s">
        <v>22</v>
      </c>
      <c r="E140" t="s">
        <v>28</v>
      </c>
      <c r="F140" t="s">
        <v>40</v>
      </c>
      <c r="G140" t="s">
        <v>41</v>
      </c>
      <c r="H140">
        <v>866678</v>
      </c>
      <c r="I140">
        <v>8</v>
      </c>
      <c r="J140" t="s">
        <v>18</v>
      </c>
      <c r="K140" t="s">
        <v>25</v>
      </c>
      <c r="L140">
        <v>3</v>
      </c>
    </row>
    <row r="141" spans="1:12" x14ac:dyDescent="0.25">
      <c r="A141" t="s">
        <v>340</v>
      </c>
      <c r="B141" t="s">
        <v>341</v>
      </c>
      <c r="C141">
        <v>30</v>
      </c>
      <c r="D141" t="s">
        <v>14</v>
      </c>
      <c r="E141" t="s">
        <v>78</v>
      </c>
      <c r="F141" t="s">
        <v>54</v>
      </c>
      <c r="G141" t="s">
        <v>119</v>
      </c>
      <c r="H141">
        <v>766107</v>
      </c>
      <c r="I141">
        <v>5</v>
      </c>
      <c r="J141" t="s">
        <v>71</v>
      </c>
      <c r="K141" t="s">
        <v>25</v>
      </c>
      <c r="L141">
        <v>4</v>
      </c>
    </row>
    <row r="142" spans="1:12" x14ac:dyDescent="0.25">
      <c r="A142" t="s">
        <v>342</v>
      </c>
      <c r="B142" t="s">
        <v>343</v>
      </c>
      <c r="C142">
        <v>40</v>
      </c>
      <c r="D142" t="s">
        <v>14</v>
      </c>
      <c r="E142" t="s">
        <v>31</v>
      </c>
      <c r="F142" t="s">
        <v>32</v>
      </c>
      <c r="G142" t="s">
        <v>107</v>
      </c>
      <c r="H142">
        <v>1641248</v>
      </c>
      <c r="I142">
        <v>11</v>
      </c>
      <c r="J142" t="s">
        <v>18</v>
      </c>
      <c r="K142" t="s">
        <v>25</v>
      </c>
      <c r="L142">
        <v>3</v>
      </c>
    </row>
    <row r="143" spans="1:12" x14ac:dyDescent="0.25">
      <c r="A143" t="s">
        <v>344</v>
      </c>
      <c r="B143" t="s">
        <v>345</v>
      </c>
      <c r="C143">
        <v>26</v>
      </c>
      <c r="D143" t="s">
        <v>14</v>
      </c>
      <c r="E143" t="s">
        <v>15</v>
      </c>
      <c r="F143" t="s">
        <v>40</v>
      </c>
      <c r="G143" t="s">
        <v>82</v>
      </c>
      <c r="H143">
        <v>673705</v>
      </c>
      <c r="I143">
        <v>3</v>
      </c>
      <c r="J143" t="s">
        <v>36</v>
      </c>
      <c r="K143" t="s">
        <v>25</v>
      </c>
      <c r="L143">
        <v>3</v>
      </c>
    </row>
    <row r="144" spans="1:12" x14ac:dyDescent="0.25">
      <c r="A144" t="s">
        <v>346</v>
      </c>
      <c r="B144" t="s">
        <v>347</v>
      </c>
      <c r="C144">
        <v>30</v>
      </c>
      <c r="D144" t="s">
        <v>14</v>
      </c>
      <c r="E144" t="s">
        <v>45</v>
      </c>
      <c r="F144" t="s">
        <v>32</v>
      </c>
      <c r="G144" t="s">
        <v>79</v>
      </c>
      <c r="H144">
        <v>1364616</v>
      </c>
      <c r="I144">
        <v>2</v>
      </c>
      <c r="J144" t="s">
        <v>42</v>
      </c>
      <c r="K144" t="s">
        <v>25</v>
      </c>
      <c r="L144">
        <v>4</v>
      </c>
    </row>
    <row r="145" spans="1:12" x14ac:dyDescent="0.25">
      <c r="A145" t="s">
        <v>348</v>
      </c>
      <c r="B145" t="s">
        <v>173</v>
      </c>
      <c r="C145">
        <v>24</v>
      </c>
      <c r="D145" t="s">
        <v>14</v>
      </c>
      <c r="E145" t="s">
        <v>85</v>
      </c>
      <c r="F145" t="s">
        <v>40</v>
      </c>
      <c r="G145" t="s">
        <v>98</v>
      </c>
      <c r="H145">
        <v>738205</v>
      </c>
      <c r="I145">
        <v>0</v>
      </c>
      <c r="J145" t="s">
        <v>71</v>
      </c>
      <c r="K145" t="s">
        <v>25</v>
      </c>
      <c r="L145">
        <v>2</v>
      </c>
    </row>
    <row r="146" spans="1:12" x14ac:dyDescent="0.25">
      <c r="A146" t="s">
        <v>349</v>
      </c>
      <c r="B146" t="s">
        <v>350</v>
      </c>
      <c r="C146">
        <v>35</v>
      </c>
      <c r="D146" t="s">
        <v>22</v>
      </c>
      <c r="E146" t="s">
        <v>31</v>
      </c>
      <c r="F146" t="s">
        <v>66</v>
      </c>
      <c r="G146" t="s">
        <v>101</v>
      </c>
      <c r="H146">
        <v>1348131</v>
      </c>
      <c r="I146">
        <v>13</v>
      </c>
      <c r="J146" t="s">
        <v>18</v>
      </c>
      <c r="K146" t="s">
        <v>19</v>
      </c>
      <c r="L146">
        <v>3</v>
      </c>
    </row>
    <row r="147" spans="1:12" x14ac:dyDescent="0.25">
      <c r="A147" t="s">
        <v>351</v>
      </c>
      <c r="B147" t="s">
        <v>352</v>
      </c>
      <c r="C147">
        <v>32</v>
      </c>
      <c r="D147" t="s">
        <v>14</v>
      </c>
      <c r="E147" t="s">
        <v>39</v>
      </c>
      <c r="F147" t="s">
        <v>32</v>
      </c>
      <c r="G147" t="s">
        <v>33</v>
      </c>
      <c r="H147">
        <v>1079700</v>
      </c>
      <c r="I147">
        <v>3</v>
      </c>
      <c r="J147" t="s">
        <v>42</v>
      </c>
      <c r="K147" t="s">
        <v>25</v>
      </c>
      <c r="L147">
        <v>4</v>
      </c>
    </row>
    <row r="148" spans="1:12" x14ac:dyDescent="0.25">
      <c r="A148" t="s">
        <v>353</v>
      </c>
      <c r="B148" t="s">
        <v>354</v>
      </c>
      <c r="C148">
        <v>33</v>
      </c>
      <c r="D148" t="s">
        <v>14</v>
      </c>
      <c r="E148" t="s">
        <v>45</v>
      </c>
      <c r="F148" t="s">
        <v>54</v>
      </c>
      <c r="G148" t="s">
        <v>70</v>
      </c>
      <c r="H148">
        <v>893078</v>
      </c>
      <c r="I148">
        <v>4</v>
      </c>
      <c r="J148" t="s">
        <v>18</v>
      </c>
      <c r="K148" t="s">
        <v>25</v>
      </c>
      <c r="L148">
        <v>4</v>
      </c>
    </row>
    <row r="149" spans="1:12" x14ac:dyDescent="0.25">
      <c r="A149" t="s">
        <v>355</v>
      </c>
      <c r="B149" t="s">
        <v>356</v>
      </c>
      <c r="C149">
        <v>34</v>
      </c>
      <c r="D149" t="s">
        <v>22</v>
      </c>
      <c r="E149" t="s">
        <v>28</v>
      </c>
      <c r="F149" t="s">
        <v>16</v>
      </c>
      <c r="G149" t="s">
        <v>24</v>
      </c>
      <c r="H149">
        <v>1251828</v>
      </c>
      <c r="I149">
        <v>10</v>
      </c>
      <c r="J149" t="s">
        <v>145</v>
      </c>
      <c r="K149" t="s">
        <v>25</v>
      </c>
      <c r="L149">
        <v>3</v>
      </c>
    </row>
    <row r="150" spans="1:12" x14ac:dyDescent="0.25">
      <c r="A150" t="s">
        <v>357</v>
      </c>
      <c r="B150" t="s">
        <v>358</v>
      </c>
      <c r="C150">
        <v>34</v>
      </c>
      <c r="D150" t="s">
        <v>14</v>
      </c>
      <c r="E150" t="s">
        <v>50</v>
      </c>
      <c r="F150" t="s">
        <v>54</v>
      </c>
      <c r="G150" t="s">
        <v>55</v>
      </c>
      <c r="H150">
        <v>1367158</v>
      </c>
      <c r="I150">
        <v>13</v>
      </c>
      <c r="J150" t="s">
        <v>18</v>
      </c>
      <c r="K150" t="s">
        <v>25</v>
      </c>
      <c r="L150">
        <v>4</v>
      </c>
    </row>
    <row r="151" spans="1:12" x14ac:dyDescent="0.25">
      <c r="A151" t="s">
        <v>359</v>
      </c>
      <c r="B151" t="s">
        <v>360</v>
      </c>
      <c r="C151">
        <v>28</v>
      </c>
      <c r="D151" t="s">
        <v>14</v>
      </c>
      <c r="E151" t="s">
        <v>45</v>
      </c>
      <c r="F151" t="s">
        <v>40</v>
      </c>
      <c r="G151" t="s">
        <v>41</v>
      </c>
      <c r="H151">
        <v>804269</v>
      </c>
      <c r="I151">
        <v>7</v>
      </c>
      <c r="J151" t="s">
        <v>71</v>
      </c>
      <c r="K151" t="s">
        <v>25</v>
      </c>
      <c r="L151">
        <v>5</v>
      </c>
    </row>
    <row r="152" spans="1:12" x14ac:dyDescent="0.25">
      <c r="A152" t="s">
        <v>361</v>
      </c>
      <c r="B152" t="s">
        <v>362</v>
      </c>
      <c r="C152">
        <v>28</v>
      </c>
      <c r="D152" t="s">
        <v>14</v>
      </c>
      <c r="E152" t="s">
        <v>23</v>
      </c>
      <c r="F152" t="s">
        <v>66</v>
      </c>
      <c r="G152" t="s">
        <v>67</v>
      </c>
      <c r="H152">
        <v>928194</v>
      </c>
      <c r="I152">
        <v>4</v>
      </c>
      <c r="J152" t="s">
        <v>18</v>
      </c>
      <c r="K152" t="s">
        <v>25</v>
      </c>
      <c r="L152">
        <v>4</v>
      </c>
    </row>
    <row r="153" spans="1:12" x14ac:dyDescent="0.25">
      <c r="A153" t="s">
        <v>363</v>
      </c>
      <c r="B153" t="s">
        <v>13</v>
      </c>
      <c r="C153">
        <v>31</v>
      </c>
      <c r="D153" t="s">
        <v>14</v>
      </c>
      <c r="E153" t="s">
        <v>31</v>
      </c>
      <c r="F153" t="s">
        <v>46</v>
      </c>
      <c r="G153" t="s">
        <v>110</v>
      </c>
      <c r="H153">
        <v>1448206</v>
      </c>
      <c r="I153">
        <v>1</v>
      </c>
      <c r="J153" t="s">
        <v>18</v>
      </c>
      <c r="K153" t="s">
        <v>25</v>
      </c>
      <c r="L153">
        <v>4</v>
      </c>
    </row>
    <row r="154" spans="1:12" x14ac:dyDescent="0.25">
      <c r="A154" t="s">
        <v>364</v>
      </c>
      <c r="B154" t="s">
        <v>365</v>
      </c>
      <c r="C154">
        <v>31</v>
      </c>
      <c r="D154" t="s">
        <v>14</v>
      </c>
      <c r="E154" t="s">
        <v>23</v>
      </c>
      <c r="F154" t="s">
        <v>74</v>
      </c>
      <c r="G154" t="s">
        <v>238</v>
      </c>
      <c r="H154">
        <v>683034</v>
      </c>
      <c r="I154">
        <v>10</v>
      </c>
      <c r="J154" t="s">
        <v>71</v>
      </c>
      <c r="K154" t="s">
        <v>25</v>
      </c>
      <c r="L154">
        <v>3</v>
      </c>
    </row>
    <row r="155" spans="1:12" x14ac:dyDescent="0.25">
      <c r="A155" t="s">
        <v>366</v>
      </c>
      <c r="B155" t="s">
        <v>367</v>
      </c>
      <c r="C155">
        <v>27</v>
      </c>
      <c r="D155" t="s">
        <v>14</v>
      </c>
      <c r="E155" t="s">
        <v>50</v>
      </c>
      <c r="F155" t="s">
        <v>54</v>
      </c>
      <c r="G155" t="s">
        <v>70</v>
      </c>
      <c r="H155">
        <v>944208</v>
      </c>
      <c r="I155">
        <v>6</v>
      </c>
      <c r="J155" t="s">
        <v>18</v>
      </c>
      <c r="K155" t="s">
        <v>25</v>
      </c>
      <c r="L155">
        <v>3</v>
      </c>
    </row>
    <row r="156" spans="1:12" x14ac:dyDescent="0.25">
      <c r="A156" t="s">
        <v>368</v>
      </c>
      <c r="B156" t="s">
        <v>369</v>
      </c>
      <c r="C156">
        <v>34</v>
      </c>
      <c r="D156" t="s">
        <v>14</v>
      </c>
      <c r="E156" t="s">
        <v>85</v>
      </c>
      <c r="F156" t="s">
        <v>32</v>
      </c>
      <c r="G156" t="s">
        <v>33</v>
      </c>
      <c r="H156">
        <v>1155894</v>
      </c>
      <c r="I156">
        <v>6</v>
      </c>
      <c r="J156" t="s">
        <v>18</v>
      </c>
      <c r="K156" t="s">
        <v>25</v>
      </c>
      <c r="L156">
        <v>3</v>
      </c>
    </row>
    <row r="157" spans="1:12" x14ac:dyDescent="0.25">
      <c r="A157" t="s">
        <v>370</v>
      </c>
      <c r="B157" t="s">
        <v>371</v>
      </c>
      <c r="C157">
        <v>39</v>
      </c>
      <c r="D157" t="s">
        <v>22</v>
      </c>
      <c r="E157" t="s">
        <v>50</v>
      </c>
      <c r="F157" t="s">
        <v>46</v>
      </c>
      <c r="G157" t="s">
        <v>110</v>
      </c>
      <c r="H157">
        <v>1794229</v>
      </c>
      <c r="I157">
        <v>8</v>
      </c>
      <c r="J157" t="s">
        <v>18</v>
      </c>
      <c r="K157" t="s">
        <v>25</v>
      </c>
      <c r="L157">
        <v>3</v>
      </c>
    </row>
    <row r="158" spans="1:12" x14ac:dyDescent="0.25">
      <c r="A158" t="s">
        <v>372</v>
      </c>
      <c r="B158" t="s">
        <v>373</v>
      </c>
      <c r="C158">
        <v>21</v>
      </c>
      <c r="D158" t="s">
        <v>22</v>
      </c>
      <c r="E158" t="s">
        <v>85</v>
      </c>
      <c r="F158" t="s">
        <v>66</v>
      </c>
      <c r="G158" t="s">
        <v>101</v>
      </c>
      <c r="H158">
        <v>653435</v>
      </c>
      <c r="I158">
        <v>0</v>
      </c>
      <c r="J158" t="s">
        <v>18</v>
      </c>
      <c r="K158" t="s">
        <v>25</v>
      </c>
      <c r="L158">
        <v>4</v>
      </c>
    </row>
    <row r="159" spans="1:12" x14ac:dyDescent="0.25">
      <c r="A159" t="s">
        <v>374</v>
      </c>
      <c r="B159" t="s">
        <v>375</v>
      </c>
      <c r="C159">
        <v>33</v>
      </c>
      <c r="D159" t="s">
        <v>14</v>
      </c>
      <c r="E159" t="s">
        <v>23</v>
      </c>
      <c r="F159" t="s">
        <v>16</v>
      </c>
      <c r="G159" t="s">
        <v>17</v>
      </c>
      <c r="H159">
        <v>1371519</v>
      </c>
      <c r="I159">
        <v>11</v>
      </c>
      <c r="J159" t="s">
        <v>18</v>
      </c>
      <c r="K159" t="s">
        <v>25</v>
      </c>
      <c r="L159">
        <v>1</v>
      </c>
    </row>
    <row r="160" spans="1:12" x14ac:dyDescent="0.25">
      <c r="A160" t="s">
        <v>376</v>
      </c>
      <c r="B160" t="s">
        <v>377</v>
      </c>
      <c r="C160">
        <v>40</v>
      </c>
      <c r="D160" t="s">
        <v>22</v>
      </c>
      <c r="E160" t="s">
        <v>45</v>
      </c>
      <c r="F160" t="s">
        <v>54</v>
      </c>
      <c r="G160" t="s">
        <v>70</v>
      </c>
      <c r="H160">
        <v>1042702</v>
      </c>
      <c r="I160">
        <v>10</v>
      </c>
      <c r="J160" t="s">
        <v>42</v>
      </c>
      <c r="K160" t="s">
        <v>25</v>
      </c>
      <c r="L160">
        <v>2</v>
      </c>
    </row>
    <row r="161" spans="1:12" x14ac:dyDescent="0.25">
      <c r="A161" t="s">
        <v>378</v>
      </c>
      <c r="B161" t="s">
        <v>379</v>
      </c>
      <c r="C161">
        <v>34</v>
      </c>
      <c r="D161" t="s">
        <v>14</v>
      </c>
      <c r="E161" t="s">
        <v>39</v>
      </c>
      <c r="F161" t="s">
        <v>66</v>
      </c>
      <c r="G161" t="s">
        <v>101</v>
      </c>
      <c r="H161">
        <v>1251675</v>
      </c>
      <c r="I161">
        <v>9</v>
      </c>
      <c r="J161" t="s">
        <v>18</v>
      </c>
      <c r="K161" t="s">
        <v>25</v>
      </c>
      <c r="L161">
        <v>3</v>
      </c>
    </row>
    <row r="162" spans="1:12" x14ac:dyDescent="0.25">
      <c r="A162" t="s">
        <v>380</v>
      </c>
      <c r="B162" t="s">
        <v>381</v>
      </c>
      <c r="C162">
        <v>27</v>
      </c>
      <c r="D162" t="s">
        <v>14</v>
      </c>
      <c r="E162" t="s">
        <v>15</v>
      </c>
      <c r="F162" t="s">
        <v>16</v>
      </c>
      <c r="G162" t="s">
        <v>24</v>
      </c>
      <c r="H162">
        <v>747540</v>
      </c>
      <c r="I162">
        <v>3</v>
      </c>
      <c r="J162" t="s">
        <v>71</v>
      </c>
      <c r="K162" t="s">
        <v>25</v>
      </c>
      <c r="L162">
        <v>4</v>
      </c>
    </row>
    <row r="163" spans="1:12" x14ac:dyDescent="0.25">
      <c r="A163" t="s">
        <v>382</v>
      </c>
      <c r="B163" t="s">
        <v>383</v>
      </c>
      <c r="C163">
        <v>35</v>
      </c>
      <c r="D163" t="s">
        <v>14</v>
      </c>
      <c r="E163" t="s">
        <v>31</v>
      </c>
      <c r="F163" t="s">
        <v>16</v>
      </c>
      <c r="G163" t="s">
        <v>17</v>
      </c>
      <c r="H163">
        <v>1372436</v>
      </c>
      <c r="I163">
        <v>13</v>
      </c>
      <c r="J163" t="s">
        <v>18</v>
      </c>
      <c r="K163" t="s">
        <v>25</v>
      </c>
      <c r="L163">
        <v>3</v>
      </c>
    </row>
    <row r="164" spans="1:12" x14ac:dyDescent="0.25">
      <c r="A164" t="s">
        <v>384</v>
      </c>
      <c r="B164" t="s">
        <v>385</v>
      </c>
      <c r="C164">
        <v>33</v>
      </c>
      <c r="D164" t="s">
        <v>14</v>
      </c>
      <c r="E164" t="s">
        <v>31</v>
      </c>
      <c r="F164" t="s">
        <v>136</v>
      </c>
      <c r="G164" t="s">
        <v>137</v>
      </c>
      <c r="H164">
        <v>1237249</v>
      </c>
      <c r="I164">
        <v>4</v>
      </c>
      <c r="J164" t="s">
        <v>36</v>
      </c>
      <c r="K164" t="s">
        <v>25</v>
      </c>
      <c r="L164">
        <v>4</v>
      </c>
    </row>
    <row r="165" spans="1:12" x14ac:dyDescent="0.25">
      <c r="A165" t="s">
        <v>386</v>
      </c>
      <c r="B165" t="s">
        <v>387</v>
      </c>
      <c r="C165">
        <v>25</v>
      </c>
      <c r="D165" t="s">
        <v>22</v>
      </c>
      <c r="E165" t="s">
        <v>61</v>
      </c>
      <c r="F165" t="s">
        <v>74</v>
      </c>
      <c r="G165" t="s">
        <v>75</v>
      </c>
      <c r="H165">
        <v>769814</v>
      </c>
      <c r="I165">
        <v>4</v>
      </c>
      <c r="J165" t="s">
        <v>42</v>
      </c>
      <c r="K165" t="s">
        <v>25</v>
      </c>
      <c r="L165">
        <v>1</v>
      </c>
    </row>
    <row r="166" spans="1:12" x14ac:dyDescent="0.25">
      <c r="A166" t="s">
        <v>388</v>
      </c>
      <c r="B166" t="s">
        <v>389</v>
      </c>
      <c r="C166">
        <v>24</v>
      </c>
      <c r="D166" t="s">
        <v>22</v>
      </c>
      <c r="E166" t="s">
        <v>61</v>
      </c>
      <c r="F166" t="s">
        <v>32</v>
      </c>
      <c r="G166" t="s">
        <v>33</v>
      </c>
      <c r="H166">
        <v>965553</v>
      </c>
      <c r="I166">
        <v>3</v>
      </c>
      <c r="J166" t="s">
        <v>18</v>
      </c>
      <c r="K166" t="s">
        <v>25</v>
      </c>
      <c r="L166">
        <v>3</v>
      </c>
    </row>
    <row r="167" spans="1:12" x14ac:dyDescent="0.25">
      <c r="A167" t="s">
        <v>390</v>
      </c>
      <c r="B167" t="s">
        <v>391</v>
      </c>
      <c r="C167">
        <v>34</v>
      </c>
      <c r="D167" t="s">
        <v>14</v>
      </c>
      <c r="E167" t="s">
        <v>31</v>
      </c>
      <c r="F167" t="s">
        <v>74</v>
      </c>
      <c r="G167" t="s">
        <v>251</v>
      </c>
      <c r="H167">
        <v>924588</v>
      </c>
      <c r="I167">
        <v>6</v>
      </c>
      <c r="J167" t="s">
        <v>36</v>
      </c>
      <c r="K167" t="s">
        <v>25</v>
      </c>
      <c r="L167">
        <v>3</v>
      </c>
    </row>
    <row r="168" spans="1:12" x14ac:dyDescent="0.25">
      <c r="A168" t="s">
        <v>392</v>
      </c>
      <c r="B168" t="s">
        <v>393</v>
      </c>
      <c r="C168">
        <v>21</v>
      </c>
      <c r="D168" t="s">
        <v>22</v>
      </c>
      <c r="E168" t="s">
        <v>45</v>
      </c>
      <c r="F168" t="s">
        <v>32</v>
      </c>
      <c r="G168" t="s">
        <v>107</v>
      </c>
      <c r="H168">
        <v>1277431</v>
      </c>
      <c r="I168">
        <v>0</v>
      </c>
      <c r="J168" t="s">
        <v>36</v>
      </c>
      <c r="K168" t="s">
        <v>25</v>
      </c>
      <c r="L168">
        <v>3</v>
      </c>
    </row>
    <row r="169" spans="1:12" x14ac:dyDescent="0.25">
      <c r="A169" t="s">
        <v>394</v>
      </c>
      <c r="B169" t="s">
        <v>395</v>
      </c>
      <c r="C169">
        <v>36</v>
      </c>
      <c r="D169" t="s">
        <v>14</v>
      </c>
      <c r="E169" t="s">
        <v>23</v>
      </c>
      <c r="F169" t="s">
        <v>40</v>
      </c>
      <c r="G169" t="s">
        <v>98</v>
      </c>
      <c r="H169">
        <v>1108902</v>
      </c>
      <c r="I169">
        <v>7</v>
      </c>
      <c r="J169" t="s">
        <v>18</v>
      </c>
      <c r="K169" t="s">
        <v>25</v>
      </c>
      <c r="L169">
        <v>3</v>
      </c>
    </row>
    <row r="170" spans="1:12" x14ac:dyDescent="0.25">
      <c r="A170" t="s">
        <v>396</v>
      </c>
      <c r="B170" t="s">
        <v>397</v>
      </c>
      <c r="C170">
        <v>21</v>
      </c>
      <c r="D170" t="s">
        <v>14</v>
      </c>
      <c r="E170" t="s">
        <v>61</v>
      </c>
      <c r="F170" t="s">
        <v>136</v>
      </c>
      <c r="G170" t="s">
        <v>191</v>
      </c>
      <c r="H170">
        <v>715272</v>
      </c>
      <c r="I170">
        <v>0</v>
      </c>
      <c r="J170" t="s">
        <v>18</v>
      </c>
      <c r="K170" t="s">
        <v>25</v>
      </c>
      <c r="L170">
        <v>3</v>
      </c>
    </row>
    <row r="171" spans="1:12" x14ac:dyDescent="0.25">
      <c r="A171" t="s">
        <v>398</v>
      </c>
      <c r="B171" t="s">
        <v>358</v>
      </c>
      <c r="C171">
        <v>27</v>
      </c>
      <c r="D171" t="s">
        <v>14</v>
      </c>
      <c r="E171" t="s">
        <v>28</v>
      </c>
      <c r="F171" t="s">
        <v>32</v>
      </c>
      <c r="G171" t="s">
        <v>129</v>
      </c>
      <c r="H171">
        <v>1763265</v>
      </c>
      <c r="I171">
        <v>6</v>
      </c>
      <c r="J171" t="s">
        <v>42</v>
      </c>
      <c r="K171" t="s">
        <v>25</v>
      </c>
      <c r="L171">
        <v>1</v>
      </c>
    </row>
    <row r="172" spans="1:12" x14ac:dyDescent="0.25">
      <c r="A172" t="s">
        <v>399</v>
      </c>
      <c r="B172" t="s">
        <v>400</v>
      </c>
      <c r="C172">
        <v>42</v>
      </c>
      <c r="D172" t="s">
        <v>14</v>
      </c>
      <c r="E172" t="s">
        <v>61</v>
      </c>
      <c r="F172" t="s">
        <v>32</v>
      </c>
      <c r="G172" t="s">
        <v>79</v>
      </c>
      <c r="H172">
        <v>1513697</v>
      </c>
      <c r="I172">
        <v>6</v>
      </c>
      <c r="J172" t="s">
        <v>42</v>
      </c>
      <c r="K172" t="s">
        <v>25</v>
      </c>
      <c r="L172">
        <v>3</v>
      </c>
    </row>
    <row r="173" spans="1:12" x14ac:dyDescent="0.25">
      <c r="A173" t="s">
        <v>401</v>
      </c>
      <c r="B173" t="s">
        <v>402</v>
      </c>
      <c r="C173">
        <v>36</v>
      </c>
      <c r="D173" t="s">
        <v>14</v>
      </c>
      <c r="E173" t="s">
        <v>78</v>
      </c>
      <c r="F173" t="s">
        <v>40</v>
      </c>
      <c r="G173" t="s">
        <v>82</v>
      </c>
      <c r="H173">
        <v>925307</v>
      </c>
      <c r="I173">
        <v>10</v>
      </c>
      <c r="J173" t="s">
        <v>71</v>
      </c>
      <c r="K173" t="s">
        <v>25</v>
      </c>
      <c r="L173">
        <v>2</v>
      </c>
    </row>
    <row r="174" spans="1:12" x14ac:dyDescent="0.25">
      <c r="A174" t="s">
        <v>403</v>
      </c>
      <c r="B174" t="s">
        <v>404</v>
      </c>
      <c r="C174">
        <v>31</v>
      </c>
      <c r="D174" t="s">
        <v>14</v>
      </c>
      <c r="E174" t="s">
        <v>28</v>
      </c>
      <c r="F174" t="s">
        <v>40</v>
      </c>
      <c r="G174" t="s">
        <v>98</v>
      </c>
      <c r="H174">
        <v>969881</v>
      </c>
      <c r="I174">
        <v>2</v>
      </c>
      <c r="J174" t="s">
        <v>18</v>
      </c>
      <c r="K174" t="s">
        <v>25</v>
      </c>
      <c r="L174">
        <v>3</v>
      </c>
    </row>
    <row r="175" spans="1:12" x14ac:dyDescent="0.25">
      <c r="A175" t="s">
        <v>405</v>
      </c>
      <c r="B175" t="s">
        <v>73</v>
      </c>
      <c r="C175">
        <v>27</v>
      </c>
      <c r="D175" t="s">
        <v>22</v>
      </c>
      <c r="E175" t="s">
        <v>45</v>
      </c>
      <c r="F175" t="s">
        <v>136</v>
      </c>
      <c r="G175" t="s">
        <v>207</v>
      </c>
      <c r="H175">
        <v>784669</v>
      </c>
      <c r="I175">
        <v>0</v>
      </c>
      <c r="J175" t="s">
        <v>18</v>
      </c>
      <c r="K175" t="s">
        <v>25</v>
      </c>
      <c r="L175">
        <v>2</v>
      </c>
    </row>
    <row r="176" spans="1:12" x14ac:dyDescent="0.25">
      <c r="A176" t="s">
        <v>406</v>
      </c>
      <c r="B176" t="s">
        <v>407</v>
      </c>
      <c r="C176">
        <v>44</v>
      </c>
      <c r="D176" t="s">
        <v>14</v>
      </c>
      <c r="E176" t="s">
        <v>61</v>
      </c>
      <c r="F176" t="s">
        <v>16</v>
      </c>
      <c r="G176" t="s">
        <v>126</v>
      </c>
      <c r="H176">
        <v>1580767</v>
      </c>
      <c r="I176">
        <v>13</v>
      </c>
      <c r="J176" t="s">
        <v>42</v>
      </c>
      <c r="K176" t="s">
        <v>19</v>
      </c>
      <c r="L176">
        <v>3</v>
      </c>
    </row>
    <row r="177" spans="1:12" x14ac:dyDescent="0.25">
      <c r="A177" t="s">
        <v>408</v>
      </c>
      <c r="B177" t="s">
        <v>409</v>
      </c>
      <c r="C177">
        <v>31</v>
      </c>
      <c r="D177" t="s">
        <v>22</v>
      </c>
      <c r="E177" t="s">
        <v>23</v>
      </c>
      <c r="F177" t="s">
        <v>74</v>
      </c>
      <c r="G177" t="s">
        <v>95</v>
      </c>
      <c r="H177">
        <v>900896</v>
      </c>
      <c r="I177">
        <v>5</v>
      </c>
      <c r="J177" t="s">
        <v>71</v>
      </c>
      <c r="K177" t="s">
        <v>25</v>
      </c>
      <c r="L177">
        <v>3</v>
      </c>
    </row>
    <row r="178" spans="1:12" x14ac:dyDescent="0.25">
      <c r="A178" t="s">
        <v>410</v>
      </c>
      <c r="B178" t="s">
        <v>411</v>
      </c>
      <c r="C178">
        <v>40</v>
      </c>
      <c r="D178" t="s">
        <v>22</v>
      </c>
      <c r="E178" t="s">
        <v>50</v>
      </c>
      <c r="F178" t="s">
        <v>74</v>
      </c>
      <c r="G178" t="s">
        <v>75</v>
      </c>
      <c r="H178">
        <v>997244</v>
      </c>
      <c r="I178">
        <v>9</v>
      </c>
      <c r="J178" t="s">
        <v>18</v>
      </c>
      <c r="K178" t="s">
        <v>25</v>
      </c>
      <c r="L178">
        <v>3</v>
      </c>
    </row>
    <row r="179" spans="1:12" x14ac:dyDescent="0.25">
      <c r="A179" t="s">
        <v>412</v>
      </c>
      <c r="B179" t="s">
        <v>413</v>
      </c>
      <c r="C179">
        <v>27</v>
      </c>
      <c r="D179" t="s">
        <v>14</v>
      </c>
      <c r="E179" t="s">
        <v>31</v>
      </c>
      <c r="F179" t="s">
        <v>32</v>
      </c>
      <c r="G179" t="s">
        <v>107</v>
      </c>
      <c r="H179">
        <v>1252609</v>
      </c>
      <c r="I179">
        <v>1</v>
      </c>
      <c r="J179" t="s">
        <v>42</v>
      </c>
      <c r="K179" t="s">
        <v>19</v>
      </c>
      <c r="L179">
        <v>3</v>
      </c>
    </row>
    <row r="180" spans="1:12" x14ac:dyDescent="0.25">
      <c r="A180" t="s">
        <v>414</v>
      </c>
      <c r="B180" t="s">
        <v>415</v>
      </c>
      <c r="C180">
        <v>29</v>
      </c>
      <c r="D180" t="s">
        <v>22</v>
      </c>
      <c r="E180" t="s">
        <v>31</v>
      </c>
      <c r="F180" t="s">
        <v>16</v>
      </c>
      <c r="G180" t="s">
        <v>51</v>
      </c>
      <c r="H180">
        <v>1375212</v>
      </c>
      <c r="I180">
        <v>5</v>
      </c>
      <c r="J180" t="s">
        <v>18</v>
      </c>
      <c r="K180" t="s">
        <v>25</v>
      </c>
      <c r="L180">
        <v>3</v>
      </c>
    </row>
    <row r="181" spans="1:12" x14ac:dyDescent="0.25">
      <c r="A181" t="s">
        <v>416</v>
      </c>
      <c r="B181" t="s">
        <v>417</v>
      </c>
      <c r="C181">
        <v>43</v>
      </c>
      <c r="D181" t="s">
        <v>14</v>
      </c>
      <c r="E181" t="s">
        <v>61</v>
      </c>
      <c r="F181" t="s">
        <v>46</v>
      </c>
      <c r="G181" t="s">
        <v>47</v>
      </c>
      <c r="H181">
        <v>1902173</v>
      </c>
      <c r="I181">
        <v>11</v>
      </c>
      <c r="J181" t="s">
        <v>18</v>
      </c>
      <c r="K181" t="s">
        <v>25</v>
      </c>
      <c r="L181">
        <v>3</v>
      </c>
    </row>
    <row r="182" spans="1:12" x14ac:dyDescent="0.25">
      <c r="A182" t="s">
        <v>418</v>
      </c>
      <c r="B182" t="s">
        <v>419</v>
      </c>
      <c r="C182">
        <v>38</v>
      </c>
      <c r="D182" t="s">
        <v>14</v>
      </c>
      <c r="E182" t="s">
        <v>50</v>
      </c>
      <c r="F182" t="s">
        <v>46</v>
      </c>
      <c r="G182" t="s">
        <v>47</v>
      </c>
      <c r="H182">
        <v>1742241</v>
      </c>
      <c r="I182">
        <v>12</v>
      </c>
      <c r="J182" t="s">
        <v>18</v>
      </c>
      <c r="K182" t="s">
        <v>25</v>
      </c>
      <c r="L182">
        <v>3</v>
      </c>
    </row>
    <row r="183" spans="1:12" x14ac:dyDescent="0.25">
      <c r="A183" t="s">
        <v>420</v>
      </c>
      <c r="B183" t="s">
        <v>421</v>
      </c>
      <c r="C183">
        <v>28</v>
      </c>
      <c r="D183" t="s">
        <v>14</v>
      </c>
      <c r="E183" t="s">
        <v>23</v>
      </c>
      <c r="F183" t="s">
        <v>40</v>
      </c>
      <c r="G183" t="s">
        <v>58</v>
      </c>
      <c r="H183">
        <v>498671</v>
      </c>
      <c r="I183">
        <v>2</v>
      </c>
      <c r="J183" t="s">
        <v>18</v>
      </c>
      <c r="K183" t="s">
        <v>25</v>
      </c>
      <c r="L183">
        <v>2</v>
      </c>
    </row>
    <row r="184" spans="1:12" x14ac:dyDescent="0.25">
      <c r="A184" t="s">
        <v>422</v>
      </c>
      <c r="B184" t="s">
        <v>423</v>
      </c>
      <c r="C184">
        <v>27</v>
      </c>
      <c r="D184" t="s">
        <v>14</v>
      </c>
      <c r="E184" t="s">
        <v>50</v>
      </c>
      <c r="F184" t="s">
        <v>32</v>
      </c>
      <c r="G184" t="s">
        <v>129</v>
      </c>
      <c r="H184">
        <v>1819136</v>
      </c>
      <c r="I184">
        <v>5</v>
      </c>
      <c r="J184" t="s">
        <v>36</v>
      </c>
      <c r="K184" t="s">
        <v>25</v>
      </c>
      <c r="L184">
        <v>3</v>
      </c>
    </row>
    <row r="185" spans="1:12" x14ac:dyDescent="0.25">
      <c r="A185" t="s">
        <v>424</v>
      </c>
      <c r="B185" t="s">
        <v>425</v>
      </c>
      <c r="C185">
        <v>46</v>
      </c>
      <c r="D185" t="s">
        <v>22</v>
      </c>
      <c r="E185" t="s">
        <v>39</v>
      </c>
      <c r="F185" t="s">
        <v>32</v>
      </c>
      <c r="G185" t="s">
        <v>79</v>
      </c>
      <c r="H185">
        <v>1960211</v>
      </c>
      <c r="I185">
        <v>18</v>
      </c>
      <c r="J185" t="s">
        <v>18</v>
      </c>
      <c r="K185" t="s">
        <v>25</v>
      </c>
      <c r="L185">
        <v>3</v>
      </c>
    </row>
    <row r="186" spans="1:12" x14ac:dyDescent="0.25">
      <c r="A186" t="s">
        <v>426</v>
      </c>
      <c r="B186" t="s">
        <v>427</v>
      </c>
      <c r="C186">
        <v>25</v>
      </c>
      <c r="D186" t="s">
        <v>14</v>
      </c>
      <c r="E186" t="s">
        <v>50</v>
      </c>
      <c r="F186" t="s">
        <v>32</v>
      </c>
      <c r="G186" t="s">
        <v>129</v>
      </c>
      <c r="H186">
        <v>1775011</v>
      </c>
      <c r="I186">
        <v>4</v>
      </c>
      <c r="J186" t="s">
        <v>18</v>
      </c>
      <c r="K186" t="s">
        <v>25</v>
      </c>
      <c r="L186">
        <v>3</v>
      </c>
    </row>
    <row r="187" spans="1:12" x14ac:dyDescent="0.25">
      <c r="A187" t="s">
        <v>428</v>
      </c>
      <c r="B187" t="s">
        <v>429</v>
      </c>
      <c r="C187">
        <v>29</v>
      </c>
      <c r="D187" t="s">
        <v>22</v>
      </c>
      <c r="E187" t="s">
        <v>85</v>
      </c>
      <c r="F187" t="s">
        <v>46</v>
      </c>
      <c r="G187" t="s">
        <v>47</v>
      </c>
      <c r="H187">
        <v>1391523</v>
      </c>
      <c r="I187">
        <v>1</v>
      </c>
      <c r="J187" t="s">
        <v>145</v>
      </c>
      <c r="K187" t="s">
        <v>25</v>
      </c>
      <c r="L187">
        <v>3</v>
      </c>
    </row>
    <row r="188" spans="1:12" x14ac:dyDescent="0.25">
      <c r="A188" t="s">
        <v>430</v>
      </c>
      <c r="B188" t="s">
        <v>431</v>
      </c>
      <c r="C188">
        <v>26</v>
      </c>
      <c r="D188" t="s">
        <v>14</v>
      </c>
      <c r="E188" t="s">
        <v>31</v>
      </c>
      <c r="F188" t="s">
        <v>54</v>
      </c>
      <c r="G188" t="s">
        <v>55</v>
      </c>
      <c r="H188">
        <v>1055336</v>
      </c>
      <c r="I188">
        <v>3</v>
      </c>
      <c r="J188" t="s">
        <v>18</v>
      </c>
      <c r="K188" t="s">
        <v>19</v>
      </c>
      <c r="L188">
        <v>3</v>
      </c>
    </row>
    <row r="189" spans="1:12" x14ac:dyDescent="0.25">
      <c r="A189" t="s">
        <v>432</v>
      </c>
      <c r="B189" t="s">
        <v>433</v>
      </c>
      <c r="C189">
        <v>36</v>
      </c>
      <c r="D189" t="s">
        <v>14</v>
      </c>
      <c r="E189" t="s">
        <v>28</v>
      </c>
      <c r="F189" t="s">
        <v>16</v>
      </c>
      <c r="G189" t="s">
        <v>24</v>
      </c>
      <c r="H189">
        <v>705189</v>
      </c>
      <c r="I189">
        <v>5</v>
      </c>
      <c r="J189" t="s">
        <v>71</v>
      </c>
      <c r="K189" t="s">
        <v>25</v>
      </c>
      <c r="L189">
        <v>3</v>
      </c>
    </row>
    <row r="190" spans="1:12" x14ac:dyDescent="0.25">
      <c r="A190" t="s">
        <v>434</v>
      </c>
      <c r="B190" t="s">
        <v>435</v>
      </c>
      <c r="C190">
        <v>47</v>
      </c>
      <c r="D190" t="s">
        <v>14</v>
      </c>
      <c r="E190" t="s">
        <v>85</v>
      </c>
      <c r="F190" t="s">
        <v>32</v>
      </c>
      <c r="G190" t="s">
        <v>129</v>
      </c>
      <c r="H190">
        <v>2125117</v>
      </c>
      <c r="I190">
        <v>10</v>
      </c>
      <c r="J190" t="s">
        <v>145</v>
      </c>
      <c r="K190" t="s">
        <v>25</v>
      </c>
      <c r="L190">
        <v>4</v>
      </c>
    </row>
    <row r="191" spans="1:12" x14ac:dyDescent="0.25">
      <c r="A191" t="s">
        <v>436</v>
      </c>
      <c r="B191" t="s">
        <v>437</v>
      </c>
      <c r="C191">
        <v>31</v>
      </c>
      <c r="D191" t="s">
        <v>22</v>
      </c>
      <c r="E191" t="s">
        <v>39</v>
      </c>
      <c r="F191" t="s">
        <v>136</v>
      </c>
      <c r="G191" t="s">
        <v>137</v>
      </c>
      <c r="H191">
        <v>1224099</v>
      </c>
      <c r="I191">
        <v>5</v>
      </c>
      <c r="J191" t="s">
        <v>36</v>
      </c>
      <c r="K191" t="s">
        <v>25</v>
      </c>
      <c r="L191">
        <v>4</v>
      </c>
    </row>
    <row r="192" spans="1:12" x14ac:dyDescent="0.25">
      <c r="A192" t="s">
        <v>438</v>
      </c>
      <c r="B192" t="s">
        <v>439</v>
      </c>
      <c r="C192">
        <v>28</v>
      </c>
      <c r="D192" t="s">
        <v>22</v>
      </c>
      <c r="E192" t="s">
        <v>61</v>
      </c>
      <c r="F192" t="s">
        <v>136</v>
      </c>
      <c r="G192" t="s">
        <v>191</v>
      </c>
      <c r="H192">
        <v>741708</v>
      </c>
      <c r="I192">
        <v>3</v>
      </c>
      <c r="J192" t="s">
        <v>18</v>
      </c>
      <c r="K192" t="s">
        <v>25</v>
      </c>
      <c r="L192">
        <v>5</v>
      </c>
    </row>
    <row r="193" spans="1:12" x14ac:dyDescent="0.25">
      <c r="A193" t="s">
        <v>440</v>
      </c>
      <c r="B193" t="s">
        <v>441</v>
      </c>
      <c r="C193">
        <v>41</v>
      </c>
      <c r="D193" t="s">
        <v>22</v>
      </c>
      <c r="E193" t="s">
        <v>15</v>
      </c>
      <c r="F193" t="s">
        <v>32</v>
      </c>
      <c r="G193" t="s">
        <v>107</v>
      </c>
      <c r="H193">
        <v>1736098</v>
      </c>
      <c r="I193">
        <v>10</v>
      </c>
      <c r="J193" t="s">
        <v>36</v>
      </c>
      <c r="K193" t="s">
        <v>25</v>
      </c>
      <c r="L193">
        <v>2</v>
      </c>
    </row>
    <row r="194" spans="1:12" x14ac:dyDescent="0.25">
      <c r="A194" t="s">
        <v>442</v>
      </c>
      <c r="B194" t="s">
        <v>243</v>
      </c>
      <c r="C194">
        <v>29</v>
      </c>
      <c r="D194" t="s">
        <v>14</v>
      </c>
      <c r="E194" t="s">
        <v>45</v>
      </c>
      <c r="F194" t="s">
        <v>66</v>
      </c>
      <c r="G194" t="s">
        <v>101</v>
      </c>
      <c r="H194">
        <v>932698</v>
      </c>
      <c r="I194">
        <v>1</v>
      </c>
      <c r="J194" t="s">
        <v>18</v>
      </c>
      <c r="K194" t="s">
        <v>25</v>
      </c>
      <c r="L194">
        <v>3</v>
      </c>
    </row>
    <row r="195" spans="1:12" x14ac:dyDescent="0.25">
      <c r="A195" t="s">
        <v>443</v>
      </c>
      <c r="B195" t="s">
        <v>444</v>
      </c>
      <c r="C195">
        <v>32</v>
      </c>
      <c r="D195" t="s">
        <v>14</v>
      </c>
      <c r="E195" t="s">
        <v>28</v>
      </c>
      <c r="F195" t="s">
        <v>32</v>
      </c>
      <c r="G195" t="s">
        <v>79</v>
      </c>
      <c r="H195">
        <v>1234532</v>
      </c>
      <c r="I195">
        <v>3</v>
      </c>
      <c r="J195" t="s">
        <v>18</v>
      </c>
      <c r="K195" t="s">
        <v>25</v>
      </c>
      <c r="L195">
        <v>3</v>
      </c>
    </row>
    <row r="196" spans="1:12" x14ac:dyDescent="0.25">
      <c r="A196" t="s">
        <v>445</v>
      </c>
      <c r="B196" t="s">
        <v>446</v>
      </c>
      <c r="C196">
        <v>27</v>
      </c>
      <c r="D196" t="s">
        <v>14</v>
      </c>
      <c r="E196" t="s">
        <v>15</v>
      </c>
      <c r="F196" t="s">
        <v>46</v>
      </c>
      <c r="G196" t="s">
        <v>113</v>
      </c>
      <c r="H196">
        <v>1034271</v>
      </c>
      <c r="I196">
        <v>3</v>
      </c>
      <c r="J196" t="s">
        <v>18</v>
      </c>
      <c r="K196" t="s">
        <v>25</v>
      </c>
      <c r="L196">
        <v>2</v>
      </c>
    </row>
    <row r="197" spans="1:12" x14ac:dyDescent="0.25">
      <c r="A197" t="s">
        <v>447</v>
      </c>
      <c r="B197" t="s">
        <v>448</v>
      </c>
      <c r="C197">
        <v>29</v>
      </c>
      <c r="D197" t="s">
        <v>14</v>
      </c>
      <c r="E197" t="s">
        <v>31</v>
      </c>
      <c r="F197" t="s">
        <v>32</v>
      </c>
      <c r="G197" t="s">
        <v>33</v>
      </c>
      <c r="H197">
        <v>1000337</v>
      </c>
      <c r="I197">
        <v>3</v>
      </c>
      <c r="J197" t="s">
        <v>71</v>
      </c>
      <c r="K197" t="s">
        <v>25</v>
      </c>
      <c r="L197">
        <v>4</v>
      </c>
    </row>
    <row r="198" spans="1:12" x14ac:dyDescent="0.25">
      <c r="A198" t="s">
        <v>449</v>
      </c>
      <c r="B198" t="s">
        <v>450</v>
      </c>
      <c r="C198">
        <v>35</v>
      </c>
      <c r="D198" t="s">
        <v>14</v>
      </c>
      <c r="E198" t="s">
        <v>45</v>
      </c>
      <c r="F198" t="s">
        <v>136</v>
      </c>
      <c r="G198" t="s">
        <v>137</v>
      </c>
      <c r="H198">
        <v>1526434</v>
      </c>
      <c r="I198">
        <v>14</v>
      </c>
      <c r="J198" t="s">
        <v>18</v>
      </c>
      <c r="K198" t="s">
        <v>25</v>
      </c>
      <c r="L198">
        <v>2</v>
      </c>
    </row>
    <row r="199" spans="1:12" x14ac:dyDescent="0.25">
      <c r="A199" t="s">
        <v>451</v>
      </c>
      <c r="B199" t="s">
        <v>452</v>
      </c>
      <c r="C199">
        <v>38</v>
      </c>
      <c r="D199" t="s">
        <v>14</v>
      </c>
      <c r="E199" t="s">
        <v>39</v>
      </c>
      <c r="F199" t="s">
        <v>54</v>
      </c>
      <c r="G199" t="s">
        <v>119</v>
      </c>
      <c r="H199">
        <v>1068323</v>
      </c>
      <c r="I199">
        <v>10</v>
      </c>
      <c r="J199" t="s">
        <v>18</v>
      </c>
      <c r="K199" t="s">
        <v>25</v>
      </c>
      <c r="L199">
        <v>3</v>
      </c>
    </row>
    <row r="200" spans="1:12" x14ac:dyDescent="0.25">
      <c r="A200" t="s">
        <v>453</v>
      </c>
      <c r="B200" t="s">
        <v>377</v>
      </c>
      <c r="C200">
        <v>38</v>
      </c>
      <c r="D200" t="s">
        <v>14</v>
      </c>
      <c r="E200" t="s">
        <v>39</v>
      </c>
      <c r="F200" t="s">
        <v>16</v>
      </c>
      <c r="G200" t="s">
        <v>126</v>
      </c>
      <c r="H200">
        <v>1050530</v>
      </c>
      <c r="I200">
        <v>6</v>
      </c>
      <c r="J200" t="s">
        <v>42</v>
      </c>
      <c r="K200" t="s">
        <v>25</v>
      </c>
      <c r="L200">
        <v>3</v>
      </c>
    </row>
    <row r="201" spans="1:12" x14ac:dyDescent="0.25">
      <c r="A201" t="s">
        <v>454</v>
      </c>
      <c r="B201" t="s">
        <v>455</v>
      </c>
      <c r="C201">
        <v>31</v>
      </c>
      <c r="D201" t="s">
        <v>22</v>
      </c>
      <c r="E201" t="s">
        <v>50</v>
      </c>
      <c r="F201" t="s">
        <v>16</v>
      </c>
      <c r="G201" t="s">
        <v>17</v>
      </c>
      <c r="H201">
        <v>941005</v>
      </c>
      <c r="I201">
        <v>5</v>
      </c>
      <c r="J201" t="s">
        <v>18</v>
      </c>
      <c r="K201" t="s">
        <v>25</v>
      </c>
      <c r="L201">
        <v>4</v>
      </c>
    </row>
    <row r="202" spans="1:12" x14ac:dyDescent="0.25">
      <c r="A202" t="s">
        <v>456</v>
      </c>
      <c r="B202" t="s">
        <v>457</v>
      </c>
      <c r="C202">
        <v>25</v>
      </c>
      <c r="D202" t="s">
        <v>14</v>
      </c>
      <c r="E202" t="s">
        <v>50</v>
      </c>
      <c r="F202" t="s">
        <v>54</v>
      </c>
      <c r="G202" t="s">
        <v>55</v>
      </c>
      <c r="H202">
        <v>927809</v>
      </c>
      <c r="I202">
        <v>0</v>
      </c>
      <c r="J202" t="s">
        <v>71</v>
      </c>
      <c r="K202" t="s">
        <v>19</v>
      </c>
      <c r="L202">
        <v>3</v>
      </c>
    </row>
    <row r="203" spans="1:12" x14ac:dyDescent="0.25">
      <c r="A203" t="s">
        <v>458</v>
      </c>
      <c r="B203" t="s">
        <v>459</v>
      </c>
      <c r="C203">
        <v>24</v>
      </c>
      <c r="D203" t="s">
        <v>22</v>
      </c>
      <c r="E203" t="s">
        <v>28</v>
      </c>
      <c r="F203" t="s">
        <v>32</v>
      </c>
      <c r="G203" t="s">
        <v>221</v>
      </c>
      <c r="H203">
        <v>1292985</v>
      </c>
      <c r="I203">
        <v>3</v>
      </c>
      <c r="J203" t="s">
        <v>36</v>
      </c>
      <c r="K203" t="s">
        <v>25</v>
      </c>
      <c r="L203">
        <v>3</v>
      </c>
    </row>
    <row r="204" spans="1:12" x14ac:dyDescent="0.25">
      <c r="A204" t="s">
        <v>460</v>
      </c>
      <c r="B204" t="s">
        <v>461</v>
      </c>
      <c r="C204">
        <v>23</v>
      </c>
      <c r="D204" t="s">
        <v>14</v>
      </c>
      <c r="E204" t="s">
        <v>39</v>
      </c>
      <c r="F204" t="s">
        <v>54</v>
      </c>
      <c r="G204" t="s">
        <v>119</v>
      </c>
      <c r="H204">
        <v>644391</v>
      </c>
      <c r="I204">
        <v>1</v>
      </c>
      <c r="J204" t="s">
        <v>42</v>
      </c>
      <c r="K204" t="s">
        <v>25</v>
      </c>
      <c r="L204">
        <v>2</v>
      </c>
    </row>
    <row r="205" spans="1:12" x14ac:dyDescent="0.25">
      <c r="A205" t="s">
        <v>462</v>
      </c>
      <c r="B205" t="s">
        <v>463</v>
      </c>
      <c r="C205">
        <v>32</v>
      </c>
      <c r="D205" t="s">
        <v>14</v>
      </c>
      <c r="E205" t="s">
        <v>50</v>
      </c>
      <c r="F205" t="s">
        <v>40</v>
      </c>
      <c r="G205" t="s">
        <v>41</v>
      </c>
      <c r="H205">
        <v>602554</v>
      </c>
      <c r="I205">
        <v>2</v>
      </c>
      <c r="J205" t="s">
        <v>36</v>
      </c>
      <c r="K205" t="s">
        <v>19</v>
      </c>
      <c r="L205">
        <v>3</v>
      </c>
    </row>
    <row r="206" spans="1:12" x14ac:dyDescent="0.25">
      <c r="A206" t="s">
        <v>464</v>
      </c>
      <c r="B206" t="s">
        <v>435</v>
      </c>
      <c r="C206">
        <v>33</v>
      </c>
      <c r="D206" t="s">
        <v>14</v>
      </c>
      <c r="E206" t="s">
        <v>61</v>
      </c>
      <c r="F206" t="s">
        <v>54</v>
      </c>
      <c r="G206" t="s">
        <v>55</v>
      </c>
      <c r="H206">
        <v>1109641</v>
      </c>
      <c r="I206">
        <v>4</v>
      </c>
      <c r="J206" t="s">
        <v>18</v>
      </c>
      <c r="K206" t="s">
        <v>25</v>
      </c>
      <c r="L206">
        <v>3</v>
      </c>
    </row>
    <row r="207" spans="1:12" x14ac:dyDescent="0.25">
      <c r="A207" t="s">
        <v>465</v>
      </c>
      <c r="B207" t="s">
        <v>466</v>
      </c>
      <c r="C207">
        <v>41</v>
      </c>
      <c r="D207" t="s">
        <v>14</v>
      </c>
      <c r="E207" t="s">
        <v>39</v>
      </c>
      <c r="F207" t="s">
        <v>32</v>
      </c>
      <c r="G207" t="s">
        <v>33</v>
      </c>
      <c r="H207">
        <v>1650060</v>
      </c>
      <c r="I207">
        <v>14</v>
      </c>
      <c r="J207" t="s">
        <v>42</v>
      </c>
      <c r="K207" t="s">
        <v>25</v>
      </c>
      <c r="L207">
        <v>2</v>
      </c>
    </row>
    <row r="208" spans="1:12" x14ac:dyDescent="0.25">
      <c r="A208" t="s">
        <v>467</v>
      </c>
      <c r="B208" t="s">
        <v>468</v>
      </c>
      <c r="C208">
        <v>42</v>
      </c>
      <c r="D208" t="s">
        <v>22</v>
      </c>
      <c r="E208" t="s">
        <v>31</v>
      </c>
      <c r="F208" t="s">
        <v>54</v>
      </c>
      <c r="G208" t="s">
        <v>88</v>
      </c>
      <c r="H208">
        <v>1268163</v>
      </c>
      <c r="I208">
        <v>16</v>
      </c>
      <c r="J208" t="s">
        <v>71</v>
      </c>
      <c r="K208" t="s">
        <v>25</v>
      </c>
      <c r="L208">
        <v>3</v>
      </c>
    </row>
    <row r="209" spans="1:12" x14ac:dyDescent="0.25">
      <c r="A209" t="s">
        <v>469</v>
      </c>
      <c r="B209" t="s">
        <v>231</v>
      </c>
      <c r="C209">
        <v>34</v>
      </c>
      <c r="D209" t="s">
        <v>14</v>
      </c>
      <c r="E209" t="s">
        <v>85</v>
      </c>
      <c r="F209" t="s">
        <v>136</v>
      </c>
      <c r="G209" t="s">
        <v>207</v>
      </c>
      <c r="H209">
        <v>773027</v>
      </c>
      <c r="I209">
        <v>4</v>
      </c>
      <c r="J209" t="s">
        <v>42</v>
      </c>
      <c r="K209" t="s">
        <v>25</v>
      </c>
      <c r="L209">
        <v>4</v>
      </c>
    </row>
    <row r="210" spans="1:12" x14ac:dyDescent="0.25">
      <c r="A210" t="s">
        <v>470</v>
      </c>
      <c r="B210" t="s">
        <v>186</v>
      </c>
      <c r="C210">
        <v>33</v>
      </c>
      <c r="D210" t="s">
        <v>14</v>
      </c>
      <c r="E210" t="s">
        <v>15</v>
      </c>
      <c r="F210" t="s">
        <v>32</v>
      </c>
      <c r="G210" t="s">
        <v>33</v>
      </c>
      <c r="H210">
        <v>1197371</v>
      </c>
      <c r="I210">
        <v>6</v>
      </c>
      <c r="J210" t="s">
        <v>18</v>
      </c>
      <c r="K210" t="s">
        <v>25</v>
      </c>
      <c r="L210">
        <v>4</v>
      </c>
    </row>
    <row r="211" spans="1:12" x14ac:dyDescent="0.25">
      <c r="A211" t="s">
        <v>471</v>
      </c>
      <c r="B211" t="s">
        <v>153</v>
      </c>
      <c r="C211">
        <v>33</v>
      </c>
      <c r="D211" t="s">
        <v>14</v>
      </c>
      <c r="E211" t="s">
        <v>61</v>
      </c>
      <c r="F211" t="s">
        <v>74</v>
      </c>
      <c r="G211" t="s">
        <v>75</v>
      </c>
      <c r="H211">
        <v>994661</v>
      </c>
      <c r="I211">
        <v>5</v>
      </c>
      <c r="J211" t="s">
        <v>36</v>
      </c>
      <c r="K211" t="s">
        <v>25</v>
      </c>
      <c r="L211">
        <v>4</v>
      </c>
    </row>
    <row r="212" spans="1:12" x14ac:dyDescent="0.25">
      <c r="A212" t="s">
        <v>472</v>
      </c>
      <c r="B212" t="s">
        <v>473</v>
      </c>
      <c r="C212">
        <v>34</v>
      </c>
      <c r="D212" t="s">
        <v>14</v>
      </c>
      <c r="E212" t="s">
        <v>31</v>
      </c>
      <c r="F212" t="s">
        <v>46</v>
      </c>
      <c r="G212" t="s">
        <v>47</v>
      </c>
      <c r="H212">
        <v>1481506</v>
      </c>
      <c r="I212">
        <v>7</v>
      </c>
      <c r="J212" t="s">
        <v>18</v>
      </c>
      <c r="K212" t="s">
        <v>25</v>
      </c>
      <c r="L212">
        <v>4</v>
      </c>
    </row>
    <row r="213" spans="1:12" x14ac:dyDescent="0.25">
      <c r="A213" t="s">
        <v>474</v>
      </c>
      <c r="B213" t="s">
        <v>328</v>
      </c>
      <c r="C213">
        <v>31</v>
      </c>
      <c r="D213" t="s">
        <v>14</v>
      </c>
      <c r="E213" t="s">
        <v>39</v>
      </c>
      <c r="F213" t="s">
        <v>54</v>
      </c>
      <c r="G213" t="s">
        <v>119</v>
      </c>
      <c r="H213">
        <v>1026914</v>
      </c>
      <c r="I213">
        <v>9</v>
      </c>
      <c r="J213" t="s">
        <v>42</v>
      </c>
      <c r="K213" t="s">
        <v>25</v>
      </c>
      <c r="L213">
        <v>3</v>
      </c>
    </row>
    <row r="214" spans="1:12" x14ac:dyDescent="0.25">
      <c r="A214" t="s">
        <v>475</v>
      </c>
      <c r="B214" t="s">
        <v>415</v>
      </c>
      <c r="C214">
        <v>44</v>
      </c>
      <c r="D214" t="s">
        <v>14</v>
      </c>
      <c r="E214" t="s">
        <v>78</v>
      </c>
      <c r="F214" t="s">
        <v>74</v>
      </c>
      <c r="G214" t="s">
        <v>238</v>
      </c>
      <c r="H214">
        <v>1073985</v>
      </c>
      <c r="I214">
        <v>14</v>
      </c>
      <c r="J214" t="s">
        <v>42</v>
      </c>
      <c r="K214" t="s">
        <v>19</v>
      </c>
      <c r="L214">
        <v>3</v>
      </c>
    </row>
    <row r="215" spans="1:12" x14ac:dyDescent="0.25">
      <c r="A215" t="s">
        <v>476</v>
      </c>
      <c r="B215" t="s">
        <v>477</v>
      </c>
      <c r="C215">
        <v>35</v>
      </c>
      <c r="D215" t="s">
        <v>14</v>
      </c>
      <c r="E215" t="s">
        <v>50</v>
      </c>
      <c r="F215" t="s">
        <v>54</v>
      </c>
      <c r="G215" t="s">
        <v>55</v>
      </c>
      <c r="H215">
        <v>1113453</v>
      </c>
      <c r="I215">
        <v>7</v>
      </c>
      <c r="J215" t="s">
        <v>18</v>
      </c>
      <c r="K215" t="s">
        <v>25</v>
      </c>
      <c r="L215">
        <v>3</v>
      </c>
    </row>
    <row r="216" spans="1:12" x14ac:dyDescent="0.25">
      <c r="A216" t="s">
        <v>478</v>
      </c>
      <c r="B216" t="s">
        <v>479</v>
      </c>
      <c r="C216">
        <v>28</v>
      </c>
      <c r="D216" t="s">
        <v>22</v>
      </c>
      <c r="E216" t="s">
        <v>28</v>
      </c>
      <c r="F216" t="s">
        <v>54</v>
      </c>
      <c r="G216" t="s">
        <v>70</v>
      </c>
      <c r="H216">
        <v>489512</v>
      </c>
      <c r="I216">
        <v>0</v>
      </c>
      <c r="J216" t="s">
        <v>42</v>
      </c>
      <c r="K216" t="s">
        <v>19</v>
      </c>
      <c r="L216">
        <v>2</v>
      </c>
    </row>
    <row r="217" spans="1:12" x14ac:dyDescent="0.25">
      <c r="A217" t="s">
        <v>480</v>
      </c>
      <c r="B217" t="s">
        <v>200</v>
      </c>
      <c r="C217">
        <v>24</v>
      </c>
      <c r="D217" t="s">
        <v>22</v>
      </c>
      <c r="E217" t="s">
        <v>61</v>
      </c>
      <c r="F217" t="s">
        <v>74</v>
      </c>
      <c r="G217" t="s">
        <v>251</v>
      </c>
      <c r="H217">
        <v>694032</v>
      </c>
      <c r="I217">
        <v>3</v>
      </c>
      <c r="J217" t="s">
        <v>42</v>
      </c>
      <c r="K217" t="s">
        <v>25</v>
      </c>
      <c r="L217">
        <v>3</v>
      </c>
    </row>
    <row r="218" spans="1:12" x14ac:dyDescent="0.25">
      <c r="A218" t="s">
        <v>481</v>
      </c>
      <c r="B218" t="s">
        <v>272</v>
      </c>
      <c r="C218">
        <v>40</v>
      </c>
      <c r="D218" t="s">
        <v>22</v>
      </c>
      <c r="E218" t="s">
        <v>45</v>
      </c>
      <c r="F218" t="s">
        <v>16</v>
      </c>
      <c r="G218" t="s">
        <v>51</v>
      </c>
      <c r="H218">
        <v>1669282</v>
      </c>
      <c r="I218">
        <v>8</v>
      </c>
      <c r="J218" t="s">
        <v>42</v>
      </c>
      <c r="K218" t="s">
        <v>25</v>
      </c>
      <c r="L218">
        <v>2</v>
      </c>
    </row>
    <row r="219" spans="1:12" x14ac:dyDescent="0.25">
      <c r="A219" t="s">
        <v>482</v>
      </c>
      <c r="B219" t="s">
        <v>483</v>
      </c>
      <c r="C219">
        <v>29</v>
      </c>
      <c r="D219" t="s">
        <v>14</v>
      </c>
      <c r="E219" t="s">
        <v>78</v>
      </c>
      <c r="F219" t="s">
        <v>32</v>
      </c>
      <c r="G219" t="s">
        <v>79</v>
      </c>
      <c r="H219">
        <v>1681252</v>
      </c>
      <c r="I219">
        <v>8</v>
      </c>
      <c r="J219" t="s">
        <v>36</v>
      </c>
      <c r="K219" t="s">
        <v>25</v>
      </c>
      <c r="L219">
        <v>3</v>
      </c>
    </row>
    <row r="220" spans="1:12" x14ac:dyDescent="0.25">
      <c r="A220" t="s">
        <v>484</v>
      </c>
      <c r="B220" t="s">
        <v>485</v>
      </c>
      <c r="C220">
        <v>39</v>
      </c>
      <c r="D220" t="s">
        <v>14</v>
      </c>
      <c r="E220" t="s">
        <v>23</v>
      </c>
      <c r="F220" t="s">
        <v>54</v>
      </c>
      <c r="G220" t="s">
        <v>119</v>
      </c>
      <c r="H220">
        <v>715379</v>
      </c>
      <c r="I220">
        <v>7</v>
      </c>
      <c r="J220" t="s">
        <v>36</v>
      </c>
      <c r="K220" t="s">
        <v>25</v>
      </c>
      <c r="L220">
        <v>2</v>
      </c>
    </row>
    <row r="221" spans="1:12" x14ac:dyDescent="0.25">
      <c r="A221" t="s">
        <v>486</v>
      </c>
      <c r="B221" t="s">
        <v>487</v>
      </c>
      <c r="C221">
        <v>37</v>
      </c>
      <c r="D221" t="s">
        <v>14</v>
      </c>
      <c r="E221" t="s">
        <v>61</v>
      </c>
      <c r="F221" t="s">
        <v>32</v>
      </c>
      <c r="G221" t="s">
        <v>221</v>
      </c>
      <c r="H221">
        <v>1531542</v>
      </c>
      <c r="I221">
        <v>8</v>
      </c>
      <c r="J221" t="s">
        <v>42</v>
      </c>
      <c r="K221" t="s">
        <v>25</v>
      </c>
      <c r="L221">
        <v>5</v>
      </c>
    </row>
    <row r="222" spans="1:12" x14ac:dyDescent="0.25">
      <c r="A222" t="s">
        <v>488</v>
      </c>
      <c r="B222" t="s">
        <v>294</v>
      </c>
      <c r="C222">
        <v>45</v>
      </c>
      <c r="D222" t="s">
        <v>22</v>
      </c>
      <c r="E222" t="s">
        <v>28</v>
      </c>
      <c r="F222" t="s">
        <v>54</v>
      </c>
      <c r="G222" t="s">
        <v>55</v>
      </c>
      <c r="H222">
        <v>1383266</v>
      </c>
      <c r="I222">
        <v>9</v>
      </c>
      <c r="J222" t="s">
        <v>18</v>
      </c>
      <c r="K222" t="s">
        <v>25</v>
      </c>
      <c r="L222">
        <v>3</v>
      </c>
    </row>
    <row r="223" spans="1:12" x14ac:dyDescent="0.25">
      <c r="A223" t="s">
        <v>489</v>
      </c>
      <c r="B223" t="s">
        <v>490</v>
      </c>
      <c r="C223">
        <v>29</v>
      </c>
      <c r="D223" t="s">
        <v>22</v>
      </c>
      <c r="E223" t="s">
        <v>15</v>
      </c>
      <c r="F223" t="s">
        <v>40</v>
      </c>
      <c r="G223" t="s">
        <v>41</v>
      </c>
      <c r="H223">
        <v>489234</v>
      </c>
      <c r="I223">
        <v>2</v>
      </c>
      <c r="J223" t="s">
        <v>18</v>
      </c>
      <c r="K223" t="s">
        <v>25</v>
      </c>
      <c r="L223">
        <v>1</v>
      </c>
    </row>
    <row r="224" spans="1:12" x14ac:dyDescent="0.25">
      <c r="A224" t="s">
        <v>491</v>
      </c>
      <c r="B224" t="s">
        <v>278</v>
      </c>
      <c r="C224">
        <v>21</v>
      </c>
      <c r="D224" t="s">
        <v>14</v>
      </c>
      <c r="E224" t="s">
        <v>31</v>
      </c>
      <c r="F224" t="s">
        <v>46</v>
      </c>
      <c r="G224" t="s">
        <v>47</v>
      </c>
      <c r="H224">
        <v>1267966</v>
      </c>
      <c r="I224">
        <v>0</v>
      </c>
      <c r="J224" t="s">
        <v>18</v>
      </c>
      <c r="K224" t="s">
        <v>19</v>
      </c>
      <c r="L224">
        <v>4</v>
      </c>
    </row>
    <row r="225" spans="1:12" x14ac:dyDescent="0.25">
      <c r="A225" t="s">
        <v>492</v>
      </c>
      <c r="B225" t="s">
        <v>308</v>
      </c>
      <c r="C225">
        <v>30</v>
      </c>
      <c r="D225" t="s">
        <v>22</v>
      </c>
      <c r="E225" t="s">
        <v>28</v>
      </c>
      <c r="F225" t="s">
        <v>16</v>
      </c>
      <c r="G225" t="s">
        <v>17</v>
      </c>
      <c r="H225">
        <v>586496</v>
      </c>
      <c r="I225">
        <v>1</v>
      </c>
      <c r="J225" t="s">
        <v>18</v>
      </c>
      <c r="K225" t="s">
        <v>25</v>
      </c>
      <c r="L225">
        <v>4</v>
      </c>
    </row>
    <row r="226" spans="1:12" x14ac:dyDescent="0.25">
      <c r="A226" t="s">
        <v>493</v>
      </c>
      <c r="B226" t="s">
        <v>494</v>
      </c>
      <c r="C226">
        <v>38</v>
      </c>
      <c r="D226" t="s">
        <v>14</v>
      </c>
      <c r="E226" t="s">
        <v>61</v>
      </c>
      <c r="F226" t="s">
        <v>16</v>
      </c>
      <c r="G226" t="s">
        <v>24</v>
      </c>
      <c r="H226">
        <v>1250577</v>
      </c>
      <c r="I226">
        <v>11</v>
      </c>
      <c r="J226" t="s">
        <v>42</v>
      </c>
      <c r="K226" t="s">
        <v>25</v>
      </c>
      <c r="L226">
        <v>3</v>
      </c>
    </row>
    <row r="227" spans="1:12" x14ac:dyDescent="0.25">
      <c r="A227" t="s">
        <v>495</v>
      </c>
      <c r="B227" t="s">
        <v>496</v>
      </c>
      <c r="C227">
        <v>27</v>
      </c>
      <c r="D227" t="s">
        <v>14</v>
      </c>
      <c r="E227" t="s">
        <v>15</v>
      </c>
      <c r="F227" t="s">
        <v>40</v>
      </c>
      <c r="G227" t="s">
        <v>41</v>
      </c>
      <c r="H227">
        <v>571669</v>
      </c>
      <c r="I227">
        <v>2</v>
      </c>
      <c r="J227" t="s">
        <v>18</v>
      </c>
      <c r="K227" t="s">
        <v>19</v>
      </c>
      <c r="L227">
        <v>4</v>
      </c>
    </row>
    <row r="228" spans="1:12" x14ac:dyDescent="0.25">
      <c r="A228" t="s">
        <v>497</v>
      </c>
      <c r="B228" t="s">
        <v>498</v>
      </c>
      <c r="C228">
        <v>29</v>
      </c>
      <c r="D228" t="s">
        <v>14</v>
      </c>
      <c r="E228" t="s">
        <v>61</v>
      </c>
      <c r="F228" t="s">
        <v>54</v>
      </c>
      <c r="G228" t="s">
        <v>88</v>
      </c>
      <c r="H228">
        <v>987652</v>
      </c>
      <c r="I228">
        <v>8</v>
      </c>
      <c r="J228" t="s">
        <v>18</v>
      </c>
      <c r="K228" t="s">
        <v>25</v>
      </c>
      <c r="L228">
        <v>2</v>
      </c>
    </row>
    <row r="229" spans="1:12" x14ac:dyDescent="0.25">
      <c r="A229" t="s">
        <v>499</v>
      </c>
      <c r="B229" t="s">
        <v>500</v>
      </c>
      <c r="C229">
        <v>31</v>
      </c>
      <c r="D229" t="s">
        <v>14</v>
      </c>
      <c r="E229" t="s">
        <v>39</v>
      </c>
      <c r="F229" t="s">
        <v>40</v>
      </c>
      <c r="G229" t="s">
        <v>58</v>
      </c>
      <c r="H229">
        <v>529564</v>
      </c>
      <c r="I229">
        <v>0</v>
      </c>
      <c r="J229" t="s">
        <v>71</v>
      </c>
      <c r="K229" t="s">
        <v>25</v>
      </c>
      <c r="L229">
        <v>1</v>
      </c>
    </row>
    <row r="230" spans="1:12" x14ac:dyDescent="0.25">
      <c r="A230" t="s">
        <v>501</v>
      </c>
      <c r="B230" t="s">
        <v>375</v>
      </c>
      <c r="C230">
        <v>36</v>
      </c>
      <c r="D230" t="s">
        <v>22</v>
      </c>
      <c r="E230" t="s">
        <v>31</v>
      </c>
      <c r="F230" t="s">
        <v>66</v>
      </c>
      <c r="G230" t="s">
        <v>204</v>
      </c>
      <c r="H230">
        <v>1089614</v>
      </c>
      <c r="I230">
        <v>8</v>
      </c>
      <c r="J230" t="s">
        <v>18</v>
      </c>
      <c r="K230" t="s">
        <v>25</v>
      </c>
      <c r="L230">
        <v>5</v>
      </c>
    </row>
    <row r="231" spans="1:12" x14ac:dyDescent="0.25">
      <c r="A231" t="s">
        <v>502</v>
      </c>
      <c r="B231" t="s">
        <v>503</v>
      </c>
      <c r="C231">
        <v>25</v>
      </c>
      <c r="D231" t="s">
        <v>22</v>
      </c>
      <c r="E231" t="s">
        <v>50</v>
      </c>
      <c r="F231" t="s">
        <v>32</v>
      </c>
      <c r="G231" t="s">
        <v>33</v>
      </c>
      <c r="H231">
        <v>862907</v>
      </c>
      <c r="I231">
        <v>3</v>
      </c>
      <c r="J231" t="s">
        <v>71</v>
      </c>
      <c r="K231" t="s">
        <v>25</v>
      </c>
      <c r="L231">
        <v>3</v>
      </c>
    </row>
    <row r="232" spans="1:12" x14ac:dyDescent="0.25">
      <c r="A232" t="s">
        <v>504</v>
      </c>
      <c r="B232" t="s">
        <v>505</v>
      </c>
      <c r="C232">
        <v>29</v>
      </c>
      <c r="D232" t="s">
        <v>14</v>
      </c>
      <c r="E232" t="s">
        <v>85</v>
      </c>
      <c r="F232" t="s">
        <v>40</v>
      </c>
      <c r="G232" t="s">
        <v>58</v>
      </c>
      <c r="H232">
        <v>631575</v>
      </c>
      <c r="I232">
        <v>2</v>
      </c>
      <c r="J232" t="s">
        <v>71</v>
      </c>
      <c r="K232" t="s">
        <v>25</v>
      </c>
      <c r="L232">
        <v>2</v>
      </c>
    </row>
    <row r="233" spans="1:12" x14ac:dyDescent="0.25">
      <c r="A233" t="s">
        <v>506</v>
      </c>
      <c r="B233" t="s">
        <v>302</v>
      </c>
      <c r="C233">
        <v>50</v>
      </c>
      <c r="D233" t="s">
        <v>22</v>
      </c>
      <c r="E233" t="s">
        <v>15</v>
      </c>
      <c r="F233" t="s">
        <v>32</v>
      </c>
      <c r="G233" t="s">
        <v>79</v>
      </c>
      <c r="H233">
        <v>1799467</v>
      </c>
      <c r="I233">
        <v>16</v>
      </c>
      <c r="J233" t="s">
        <v>18</v>
      </c>
      <c r="K233" t="s">
        <v>25</v>
      </c>
      <c r="L233">
        <v>3</v>
      </c>
    </row>
    <row r="234" spans="1:12" x14ac:dyDescent="0.25">
      <c r="A234" t="s">
        <v>507</v>
      </c>
      <c r="B234" t="s">
        <v>439</v>
      </c>
      <c r="C234">
        <v>28</v>
      </c>
      <c r="D234" t="s">
        <v>14</v>
      </c>
      <c r="E234" t="s">
        <v>50</v>
      </c>
      <c r="F234" t="s">
        <v>136</v>
      </c>
      <c r="G234" t="s">
        <v>137</v>
      </c>
      <c r="H234">
        <v>1229031</v>
      </c>
      <c r="I234">
        <v>7</v>
      </c>
      <c r="J234" t="s">
        <v>42</v>
      </c>
      <c r="K234" t="s">
        <v>25</v>
      </c>
      <c r="L234">
        <v>3</v>
      </c>
    </row>
    <row r="235" spans="1:12" x14ac:dyDescent="0.25">
      <c r="A235" t="s">
        <v>508</v>
      </c>
      <c r="B235" t="s">
        <v>509</v>
      </c>
      <c r="C235">
        <v>32</v>
      </c>
      <c r="D235" t="s">
        <v>14</v>
      </c>
      <c r="E235" t="s">
        <v>50</v>
      </c>
      <c r="F235" t="s">
        <v>16</v>
      </c>
      <c r="G235" t="s">
        <v>126</v>
      </c>
      <c r="H235">
        <v>908072</v>
      </c>
      <c r="I235">
        <v>4</v>
      </c>
      <c r="J235" t="s">
        <v>18</v>
      </c>
      <c r="K235" t="s">
        <v>25</v>
      </c>
      <c r="L235">
        <v>4</v>
      </c>
    </row>
    <row r="236" spans="1:12" x14ac:dyDescent="0.25">
      <c r="A236" t="s">
        <v>510</v>
      </c>
      <c r="B236" t="s">
        <v>511</v>
      </c>
      <c r="C236">
        <v>29</v>
      </c>
      <c r="D236" t="s">
        <v>14</v>
      </c>
      <c r="E236" t="s">
        <v>45</v>
      </c>
      <c r="F236" t="s">
        <v>136</v>
      </c>
      <c r="G236" t="s">
        <v>207</v>
      </c>
      <c r="H236">
        <v>869506</v>
      </c>
      <c r="I236">
        <v>5</v>
      </c>
      <c r="J236" t="s">
        <v>71</v>
      </c>
      <c r="K236" t="s">
        <v>25</v>
      </c>
      <c r="L236">
        <v>4</v>
      </c>
    </row>
    <row r="237" spans="1:12" x14ac:dyDescent="0.25">
      <c r="A237" t="s">
        <v>512</v>
      </c>
      <c r="B237" t="s">
        <v>513</v>
      </c>
      <c r="C237">
        <v>26</v>
      </c>
      <c r="D237" t="s">
        <v>14</v>
      </c>
      <c r="E237" t="s">
        <v>15</v>
      </c>
      <c r="F237" t="s">
        <v>74</v>
      </c>
      <c r="G237" t="s">
        <v>75</v>
      </c>
      <c r="H237">
        <v>592338</v>
      </c>
      <c r="I237">
        <v>3</v>
      </c>
      <c r="J237" t="s">
        <v>18</v>
      </c>
      <c r="K237" t="s">
        <v>25</v>
      </c>
      <c r="L237">
        <v>4</v>
      </c>
    </row>
    <row r="238" spans="1:12" x14ac:dyDescent="0.25">
      <c r="A238" t="s">
        <v>514</v>
      </c>
      <c r="B238" t="s">
        <v>515</v>
      </c>
      <c r="C238">
        <v>21</v>
      </c>
      <c r="D238" t="s">
        <v>14</v>
      </c>
      <c r="E238" t="s">
        <v>61</v>
      </c>
      <c r="F238" t="s">
        <v>54</v>
      </c>
      <c r="G238" t="s">
        <v>55</v>
      </c>
      <c r="H238">
        <v>1051933</v>
      </c>
      <c r="I238">
        <v>0</v>
      </c>
      <c r="J238" t="s">
        <v>42</v>
      </c>
      <c r="K238" t="s">
        <v>25</v>
      </c>
      <c r="L238">
        <v>3</v>
      </c>
    </row>
    <row r="239" spans="1:12" x14ac:dyDescent="0.25">
      <c r="A239" t="s">
        <v>516</v>
      </c>
      <c r="B239" t="s">
        <v>517</v>
      </c>
      <c r="C239">
        <v>35</v>
      </c>
      <c r="D239" t="s">
        <v>14</v>
      </c>
      <c r="E239" t="s">
        <v>31</v>
      </c>
      <c r="F239" t="s">
        <v>54</v>
      </c>
      <c r="G239" t="s">
        <v>119</v>
      </c>
      <c r="H239">
        <v>878827</v>
      </c>
      <c r="I239">
        <v>9</v>
      </c>
      <c r="J239" t="s">
        <v>18</v>
      </c>
      <c r="K239" t="s">
        <v>25</v>
      </c>
      <c r="L239">
        <v>4</v>
      </c>
    </row>
    <row r="240" spans="1:12" x14ac:dyDescent="0.25">
      <c r="A240" t="s">
        <v>518</v>
      </c>
      <c r="B240" t="s">
        <v>519</v>
      </c>
      <c r="C240">
        <v>28</v>
      </c>
      <c r="D240" t="s">
        <v>14</v>
      </c>
      <c r="E240" t="s">
        <v>50</v>
      </c>
      <c r="F240" t="s">
        <v>74</v>
      </c>
      <c r="G240" t="s">
        <v>95</v>
      </c>
      <c r="H240">
        <v>819042</v>
      </c>
      <c r="I240">
        <v>2</v>
      </c>
      <c r="J240" t="s">
        <v>42</v>
      </c>
      <c r="K240" t="s">
        <v>19</v>
      </c>
      <c r="L240">
        <v>3</v>
      </c>
    </row>
    <row r="241" spans="1:12" x14ac:dyDescent="0.25">
      <c r="A241" t="s">
        <v>520</v>
      </c>
      <c r="B241" t="s">
        <v>521</v>
      </c>
      <c r="C241">
        <v>23</v>
      </c>
      <c r="D241" t="s">
        <v>22</v>
      </c>
      <c r="E241" t="s">
        <v>45</v>
      </c>
      <c r="F241" t="s">
        <v>46</v>
      </c>
      <c r="G241" t="s">
        <v>113</v>
      </c>
      <c r="H241">
        <v>1122099</v>
      </c>
      <c r="I241">
        <v>1</v>
      </c>
      <c r="J241" t="s">
        <v>18</v>
      </c>
      <c r="K241" t="s">
        <v>25</v>
      </c>
      <c r="L241">
        <v>5</v>
      </c>
    </row>
    <row r="242" spans="1:12" x14ac:dyDescent="0.25">
      <c r="A242" t="s">
        <v>522</v>
      </c>
      <c r="B242" t="s">
        <v>523</v>
      </c>
      <c r="C242">
        <v>23</v>
      </c>
      <c r="D242" t="s">
        <v>22</v>
      </c>
      <c r="E242" t="s">
        <v>61</v>
      </c>
      <c r="F242" t="s">
        <v>66</v>
      </c>
      <c r="G242" t="s">
        <v>198</v>
      </c>
      <c r="H242">
        <v>761363</v>
      </c>
      <c r="I242">
        <v>0</v>
      </c>
      <c r="J242" t="s">
        <v>42</v>
      </c>
      <c r="K242" t="s">
        <v>19</v>
      </c>
      <c r="L242">
        <v>4</v>
      </c>
    </row>
    <row r="243" spans="1:12" x14ac:dyDescent="0.25">
      <c r="A243" t="s">
        <v>524</v>
      </c>
      <c r="B243" t="s">
        <v>525</v>
      </c>
      <c r="C243">
        <v>33</v>
      </c>
      <c r="D243" t="s">
        <v>22</v>
      </c>
      <c r="E243" t="s">
        <v>85</v>
      </c>
      <c r="F243" t="s">
        <v>74</v>
      </c>
      <c r="G243" t="s">
        <v>95</v>
      </c>
      <c r="H243">
        <v>1035413</v>
      </c>
      <c r="I243">
        <v>7</v>
      </c>
      <c r="J243" t="s">
        <v>42</v>
      </c>
      <c r="K243" t="s">
        <v>25</v>
      </c>
      <c r="L243">
        <v>3</v>
      </c>
    </row>
    <row r="244" spans="1:12" x14ac:dyDescent="0.25">
      <c r="A244" t="s">
        <v>526</v>
      </c>
      <c r="B244" t="s">
        <v>527</v>
      </c>
      <c r="C244">
        <v>30</v>
      </c>
      <c r="D244" t="s">
        <v>14</v>
      </c>
      <c r="E244" t="s">
        <v>31</v>
      </c>
      <c r="F244" t="s">
        <v>136</v>
      </c>
      <c r="G244" t="s">
        <v>137</v>
      </c>
      <c r="H244">
        <v>1293147</v>
      </c>
      <c r="I244">
        <v>8</v>
      </c>
      <c r="J244" t="s">
        <v>42</v>
      </c>
      <c r="K244" t="s">
        <v>25</v>
      </c>
      <c r="L244">
        <v>2</v>
      </c>
    </row>
    <row r="245" spans="1:12" x14ac:dyDescent="0.25">
      <c r="A245" t="s">
        <v>528</v>
      </c>
      <c r="B245" t="s">
        <v>529</v>
      </c>
      <c r="C245">
        <v>38</v>
      </c>
      <c r="D245" t="s">
        <v>22</v>
      </c>
      <c r="E245" t="s">
        <v>23</v>
      </c>
      <c r="F245" t="s">
        <v>16</v>
      </c>
      <c r="G245" t="s">
        <v>51</v>
      </c>
      <c r="H245">
        <v>1366985</v>
      </c>
      <c r="I245">
        <v>8</v>
      </c>
      <c r="J245" t="s">
        <v>18</v>
      </c>
      <c r="K245" t="s">
        <v>25</v>
      </c>
      <c r="L245">
        <v>3</v>
      </c>
    </row>
    <row r="246" spans="1:12" x14ac:dyDescent="0.25">
      <c r="A246" t="s">
        <v>530</v>
      </c>
      <c r="B246" t="s">
        <v>125</v>
      </c>
      <c r="C246">
        <v>21</v>
      </c>
      <c r="D246" t="s">
        <v>22</v>
      </c>
      <c r="E246" t="s">
        <v>85</v>
      </c>
      <c r="F246" t="s">
        <v>74</v>
      </c>
      <c r="G246" t="s">
        <v>95</v>
      </c>
      <c r="H246">
        <v>680415</v>
      </c>
      <c r="I246">
        <v>0</v>
      </c>
      <c r="J246" t="s">
        <v>18</v>
      </c>
      <c r="K246" t="s">
        <v>25</v>
      </c>
      <c r="L246">
        <v>2</v>
      </c>
    </row>
    <row r="247" spans="1:12" x14ac:dyDescent="0.25">
      <c r="A247" t="s">
        <v>531</v>
      </c>
      <c r="B247" t="s">
        <v>532</v>
      </c>
      <c r="C247">
        <v>32</v>
      </c>
      <c r="D247" t="s">
        <v>14</v>
      </c>
      <c r="E247" t="s">
        <v>61</v>
      </c>
      <c r="F247" t="s">
        <v>16</v>
      </c>
      <c r="G247" t="s">
        <v>126</v>
      </c>
      <c r="H247">
        <v>1098104</v>
      </c>
      <c r="I247">
        <v>4</v>
      </c>
      <c r="J247" t="s">
        <v>36</v>
      </c>
      <c r="K247" t="s">
        <v>25</v>
      </c>
      <c r="L247">
        <v>3</v>
      </c>
    </row>
    <row r="248" spans="1:12" x14ac:dyDescent="0.25">
      <c r="A248" t="s">
        <v>533</v>
      </c>
      <c r="B248" t="s">
        <v>284</v>
      </c>
      <c r="C248">
        <v>41</v>
      </c>
      <c r="D248" t="s">
        <v>14</v>
      </c>
      <c r="E248" t="s">
        <v>45</v>
      </c>
      <c r="F248" t="s">
        <v>32</v>
      </c>
      <c r="G248" t="s">
        <v>107</v>
      </c>
      <c r="H248">
        <v>1835081</v>
      </c>
      <c r="I248">
        <v>14</v>
      </c>
      <c r="J248" t="s">
        <v>18</v>
      </c>
      <c r="K248" t="s">
        <v>25</v>
      </c>
      <c r="L248">
        <v>4</v>
      </c>
    </row>
    <row r="249" spans="1:12" x14ac:dyDescent="0.25">
      <c r="A249" t="s">
        <v>534</v>
      </c>
      <c r="B249" t="s">
        <v>535</v>
      </c>
      <c r="C249">
        <v>22</v>
      </c>
      <c r="D249" t="s">
        <v>22</v>
      </c>
      <c r="E249" t="s">
        <v>31</v>
      </c>
      <c r="F249" t="s">
        <v>40</v>
      </c>
      <c r="G249" t="s">
        <v>58</v>
      </c>
      <c r="H249">
        <v>594872</v>
      </c>
      <c r="I249">
        <v>1</v>
      </c>
      <c r="J249" t="s">
        <v>71</v>
      </c>
      <c r="K249" t="s">
        <v>25</v>
      </c>
      <c r="L249">
        <v>3</v>
      </c>
    </row>
    <row r="250" spans="1:12" x14ac:dyDescent="0.25">
      <c r="A250" t="s">
        <v>536</v>
      </c>
      <c r="B250" t="s">
        <v>537</v>
      </c>
      <c r="C250">
        <v>21</v>
      </c>
      <c r="D250" t="s">
        <v>14</v>
      </c>
      <c r="E250" t="s">
        <v>61</v>
      </c>
      <c r="F250" t="s">
        <v>74</v>
      </c>
      <c r="G250" t="s">
        <v>95</v>
      </c>
      <c r="H250">
        <v>769764</v>
      </c>
      <c r="I250">
        <v>0</v>
      </c>
      <c r="J250" t="s">
        <v>42</v>
      </c>
      <c r="K250" t="s">
        <v>19</v>
      </c>
      <c r="L250">
        <v>2</v>
      </c>
    </row>
    <row r="251" spans="1:12" x14ac:dyDescent="0.25">
      <c r="A251" t="s">
        <v>538</v>
      </c>
      <c r="B251" t="s">
        <v>539</v>
      </c>
      <c r="C251">
        <v>31</v>
      </c>
      <c r="D251" t="s">
        <v>14</v>
      </c>
      <c r="E251" t="s">
        <v>15</v>
      </c>
      <c r="F251" t="s">
        <v>40</v>
      </c>
      <c r="G251" t="s">
        <v>58</v>
      </c>
      <c r="H251">
        <v>737144</v>
      </c>
      <c r="I251">
        <v>6</v>
      </c>
      <c r="J251" t="s">
        <v>71</v>
      </c>
      <c r="K251" t="s">
        <v>25</v>
      </c>
      <c r="L251">
        <v>3</v>
      </c>
    </row>
    <row r="252" spans="1:12" x14ac:dyDescent="0.25">
      <c r="A252" t="s">
        <v>540</v>
      </c>
      <c r="B252" t="s">
        <v>541</v>
      </c>
      <c r="C252">
        <v>38</v>
      </c>
      <c r="D252" t="s">
        <v>22</v>
      </c>
      <c r="E252" t="s">
        <v>23</v>
      </c>
      <c r="F252" t="s">
        <v>40</v>
      </c>
      <c r="G252" t="s">
        <v>82</v>
      </c>
      <c r="H252">
        <v>795556</v>
      </c>
      <c r="I252">
        <v>7</v>
      </c>
      <c r="J252" t="s">
        <v>71</v>
      </c>
      <c r="K252" t="s">
        <v>19</v>
      </c>
      <c r="L252">
        <v>3</v>
      </c>
    </row>
    <row r="253" spans="1:12" x14ac:dyDescent="0.25">
      <c r="A253" t="s">
        <v>542</v>
      </c>
      <c r="B253" t="s">
        <v>322</v>
      </c>
      <c r="C253">
        <v>27</v>
      </c>
      <c r="D253" t="s">
        <v>14</v>
      </c>
      <c r="E253" t="s">
        <v>15</v>
      </c>
      <c r="F253" t="s">
        <v>40</v>
      </c>
      <c r="G253" t="s">
        <v>58</v>
      </c>
      <c r="H253">
        <v>677713</v>
      </c>
      <c r="I253">
        <v>3</v>
      </c>
      <c r="J253" t="s">
        <v>42</v>
      </c>
      <c r="K253" t="s">
        <v>25</v>
      </c>
      <c r="L253">
        <v>3</v>
      </c>
    </row>
    <row r="254" spans="1:12" x14ac:dyDescent="0.25">
      <c r="A254" t="s">
        <v>543</v>
      </c>
      <c r="B254" t="s">
        <v>544</v>
      </c>
      <c r="C254">
        <v>34</v>
      </c>
      <c r="D254" t="s">
        <v>22</v>
      </c>
      <c r="E254" t="s">
        <v>28</v>
      </c>
      <c r="F254" t="s">
        <v>32</v>
      </c>
      <c r="G254" t="s">
        <v>33</v>
      </c>
      <c r="H254">
        <v>1471087</v>
      </c>
      <c r="I254">
        <v>9</v>
      </c>
      <c r="J254" t="s">
        <v>36</v>
      </c>
      <c r="K254" t="s">
        <v>25</v>
      </c>
      <c r="L254">
        <v>1</v>
      </c>
    </row>
    <row r="255" spans="1:12" x14ac:dyDescent="0.25">
      <c r="A255" t="s">
        <v>545</v>
      </c>
      <c r="B255" t="s">
        <v>57</v>
      </c>
      <c r="C255">
        <v>27</v>
      </c>
      <c r="D255" t="s">
        <v>22</v>
      </c>
      <c r="E255" t="s">
        <v>45</v>
      </c>
      <c r="F255" t="s">
        <v>66</v>
      </c>
      <c r="G255" t="s">
        <v>67</v>
      </c>
      <c r="H255">
        <v>989569</v>
      </c>
      <c r="I255">
        <v>3</v>
      </c>
      <c r="J255" t="s">
        <v>36</v>
      </c>
      <c r="K255" t="s">
        <v>19</v>
      </c>
      <c r="L255">
        <v>3</v>
      </c>
    </row>
    <row r="256" spans="1:12" x14ac:dyDescent="0.25">
      <c r="A256" t="s">
        <v>546</v>
      </c>
      <c r="B256" t="s">
        <v>547</v>
      </c>
      <c r="C256">
        <v>33</v>
      </c>
      <c r="D256" t="s">
        <v>14</v>
      </c>
      <c r="E256" t="s">
        <v>45</v>
      </c>
      <c r="F256" t="s">
        <v>74</v>
      </c>
      <c r="G256" t="s">
        <v>251</v>
      </c>
      <c r="H256">
        <v>893795</v>
      </c>
      <c r="I256">
        <v>8</v>
      </c>
      <c r="J256" t="s">
        <v>71</v>
      </c>
      <c r="K256" t="s">
        <v>25</v>
      </c>
      <c r="L256">
        <v>3</v>
      </c>
    </row>
    <row r="257" spans="1:12" x14ac:dyDescent="0.25">
      <c r="A257" t="s">
        <v>548</v>
      </c>
      <c r="B257" t="s">
        <v>255</v>
      </c>
      <c r="C257">
        <v>50</v>
      </c>
      <c r="D257" t="s">
        <v>14</v>
      </c>
      <c r="E257" t="s">
        <v>23</v>
      </c>
      <c r="F257" t="s">
        <v>74</v>
      </c>
      <c r="G257" t="s">
        <v>251</v>
      </c>
      <c r="H257">
        <v>1413629</v>
      </c>
      <c r="I257">
        <v>17</v>
      </c>
      <c r="J257" t="s">
        <v>18</v>
      </c>
      <c r="K257" t="s">
        <v>25</v>
      </c>
      <c r="L257">
        <v>3</v>
      </c>
    </row>
    <row r="258" spans="1:12" x14ac:dyDescent="0.25">
      <c r="A258" t="s">
        <v>549</v>
      </c>
      <c r="B258" t="s">
        <v>550</v>
      </c>
      <c r="C258">
        <v>24</v>
      </c>
      <c r="D258" t="s">
        <v>22</v>
      </c>
      <c r="E258" t="s">
        <v>50</v>
      </c>
      <c r="F258" t="s">
        <v>32</v>
      </c>
      <c r="G258" t="s">
        <v>129</v>
      </c>
      <c r="H258">
        <v>1564407</v>
      </c>
      <c r="I258">
        <v>3</v>
      </c>
      <c r="J258" t="s">
        <v>18</v>
      </c>
      <c r="K258" t="s">
        <v>25</v>
      </c>
      <c r="L258">
        <v>3</v>
      </c>
    </row>
    <row r="259" spans="1:12" x14ac:dyDescent="0.25">
      <c r="A259" t="s">
        <v>551</v>
      </c>
      <c r="B259" t="s">
        <v>369</v>
      </c>
      <c r="C259">
        <v>21</v>
      </c>
      <c r="D259" t="s">
        <v>22</v>
      </c>
      <c r="E259" t="s">
        <v>61</v>
      </c>
      <c r="F259" t="s">
        <v>32</v>
      </c>
      <c r="G259" t="s">
        <v>79</v>
      </c>
      <c r="H259">
        <v>1265054</v>
      </c>
      <c r="I259">
        <v>0</v>
      </c>
      <c r="J259" t="s">
        <v>18</v>
      </c>
      <c r="K259" t="s">
        <v>25</v>
      </c>
      <c r="L259">
        <v>3</v>
      </c>
    </row>
    <row r="260" spans="1:12" x14ac:dyDescent="0.25">
      <c r="A260" t="s">
        <v>552</v>
      </c>
      <c r="B260" t="s">
        <v>553</v>
      </c>
      <c r="C260">
        <v>30</v>
      </c>
      <c r="D260" t="s">
        <v>14</v>
      </c>
      <c r="E260" t="s">
        <v>28</v>
      </c>
      <c r="F260" t="s">
        <v>40</v>
      </c>
      <c r="G260" t="s">
        <v>98</v>
      </c>
      <c r="H260">
        <v>782010</v>
      </c>
      <c r="I260">
        <v>0</v>
      </c>
      <c r="J260" t="s">
        <v>42</v>
      </c>
      <c r="K260" t="s">
        <v>19</v>
      </c>
      <c r="L260">
        <v>3</v>
      </c>
    </row>
    <row r="261" spans="1:12" x14ac:dyDescent="0.25">
      <c r="A261" t="s">
        <v>554</v>
      </c>
      <c r="B261" t="s">
        <v>555</v>
      </c>
      <c r="C261">
        <v>27</v>
      </c>
      <c r="D261" t="s">
        <v>14</v>
      </c>
      <c r="E261" t="s">
        <v>31</v>
      </c>
      <c r="F261" t="s">
        <v>54</v>
      </c>
      <c r="G261" t="s">
        <v>119</v>
      </c>
      <c r="H261">
        <v>642305</v>
      </c>
      <c r="I261">
        <v>2</v>
      </c>
      <c r="J261" t="s">
        <v>42</v>
      </c>
      <c r="K261" t="s">
        <v>25</v>
      </c>
      <c r="L261">
        <v>3</v>
      </c>
    </row>
    <row r="262" spans="1:12" x14ac:dyDescent="0.25">
      <c r="A262" t="s">
        <v>556</v>
      </c>
      <c r="B262" t="s">
        <v>557</v>
      </c>
      <c r="C262">
        <v>26</v>
      </c>
      <c r="D262" t="s">
        <v>22</v>
      </c>
      <c r="E262" t="s">
        <v>78</v>
      </c>
      <c r="F262" t="s">
        <v>32</v>
      </c>
      <c r="G262" t="s">
        <v>221</v>
      </c>
      <c r="H262">
        <v>1211818</v>
      </c>
      <c r="I262">
        <v>2</v>
      </c>
      <c r="J262" t="s">
        <v>18</v>
      </c>
      <c r="K262" t="s">
        <v>25</v>
      </c>
      <c r="L262">
        <v>4</v>
      </c>
    </row>
    <row r="263" spans="1:12" x14ac:dyDescent="0.25">
      <c r="A263" t="s">
        <v>558</v>
      </c>
      <c r="B263" t="s">
        <v>190</v>
      </c>
      <c r="C263">
        <v>21</v>
      </c>
      <c r="D263" t="s">
        <v>22</v>
      </c>
      <c r="E263" t="s">
        <v>15</v>
      </c>
      <c r="F263" t="s">
        <v>136</v>
      </c>
      <c r="G263" t="s">
        <v>191</v>
      </c>
      <c r="H263">
        <v>563765</v>
      </c>
      <c r="I263">
        <v>0</v>
      </c>
      <c r="J263" t="s">
        <v>18</v>
      </c>
      <c r="K263" t="s">
        <v>25</v>
      </c>
      <c r="L263">
        <v>4</v>
      </c>
    </row>
    <row r="264" spans="1:12" x14ac:dyDescent="0.25">
      <c r="A264" t="s">
        <v>559</v>
      </c>
      <c r="B264" t="s">
        <v>560</v>
      </c>
      <c r="C264">
        <v>38</v>
      </c>
      <c r="D264" t="s">
        <v>22</v>
      </c>
      <c r="E264" t="s">
        <v>45</v>
      </c>
      <c r="F264" t="s">
        <v>46</v>
      </c>
      <c r="G264" t="s">
        <v>110</v>
      </c>
      <c r="H264">
        <v>1963038</v>
      </c>
      <c r="I264">
        <v>7</v>
      </c>
      <c r="J264" t="s">
        <v>36</v>
      </c>
      <c r="K264" t="s">
        <v>19</v>
      </c>
      <c r="L264">
        <v>3</v>
      </c>
    </row>
    <row r="265" spans="1:12" x14ac:dyDescent="0.25">
      <c r="A265" t="s">
        <v>561</v>
      </c>
      <c r="B265" t="s">
        <v>562</v>
      </c>
      <c r="C265">
        <v>27</v>
      </c>
      <c r="D265" t="s">
        <v>14</v>
      </c>
      <c r="E265" t="s">
        <v>45</v>
      </c>
      <c r="F265" t="s">
        <v>16</v>
      </c>
      <c r="G265" t="s">
        <v>126</v>
      </c>
      <c r="H265">
        <v>735276</v>
      </c>
      <c r="I265">
        <v>0</v>
      </c>
      <c r="J265" t="s">
        <v>18</v>
      </c>
      <c r="K265" t="s">
        <v>19</v>
      </c>
      <c r="L265">
        <v>4</v>
      </c>
    </row>
    <row r="266" spans="1:12" x14ac:dyDescent="0.25">
      <c r="A266" t="s">
        <v>563</v>
      </c>
      <c r="B266" t="s">
        <v>564</v>
      </c>
      <c r="C266">
        <v>35</v>
      </c>
      <c r="D266" t="s">
        <v>14</v>
      </c>
      <c r="E266" t="s">
        <v>15</v>
      </c>
      <c r="F266" t="s">
        <v>32</v>
      </c>
      <c r="G266" t="s">
        <v>129</v>
      </c>
      <c r="H266">
        <v>1943355</v>
      </c>
      <c r="I266">
        <v>7</v>
      </c>
      <c r="J266" t="s">
        <v>42</v>
      </c>
      <c r="K266" t="s">
        <v>25</v>
      </c>
      <c r="L266">
        <v>1</v>
      </c>
    </row>
    <row r="267" spans="1:12" x14ac:dyDescent="0.25">
      <c r="A267" t="s">
        <v>565</v>
      </c>
      <c r="B267" t="s">
        <v>566</v>
      </c>
      <c r="C267">
        <v>21</v>
      </c>
      <c r="D267" t="s">
        <v>22</v>
      </c>
      <c r="E267" t="s">
        <v>45</v>
      </c>
      <c r="F267" t="s">
        <v>54</v>
      </c>
      <c r="G267" t="s">
        <v>55</v>
      </c>
      <c r="H267">
        <v>900841</v>
      </c>
      <c r="I267">
        <v>0</v>
      </c>
      <c r="J267" t="s">
        <v>18</v>
      </c>
      <c r="K267" t="s">
        <v>19</v>
      </c>
      <c r="L267">
        <v>4</v>
      </c>
    </row>
    <row r="268" spans="1:12" x14ac:dyDescent="0.25">
      <c r="A268" t="s">
        <v>567</v>
      </c>
      <c r="B268" t="s">
        <v>568</v>
      </c>
      <c r="C268">
        <v>21</v>
      </c>
      <c r="D268" t="s">
        <v>14</v>
      </c>
      <c r="E268" t="s">
        <v>28</v>
      </c>
      <c r="F268" t="s">
        <v>32</v>
      </c>
      <c r="G268" t="s">
        <v>107</v>
      </c>
      <c r="H268">
        <v>1006154</v>
      </c>
      <c r="I268">
        <v>0</v>
      </c>
      <c r="J268" t="s">
        <v>42</v>
      </c>
      <c r="K268" t="s">
        <v>25</v>
      </c>
      <c r="L268">
        <v>4</v>
      </c>
    </row>
    <row r="269" spans="1:12" x14ac:dyDescent="0.25">
      <c r="A269" t="s">
        <v>569</v>
      </c>
      <c r="B269" t="s">
        <v>570</v>
      </c>
      <c r="C269">
        <v>37</v>
      </c>
      <c r="D269" t="s">
        <v>22</v>
      </c>
      <c r="E269" t="s">
        <v>50</v>
      </c>
      <c r="F269" t="s">
        <v>32</v>
      </c>
      <c r="G269" t="s">
        <v>129</v>
      </c>
      <c r="H269">
        <v>1882277</v>
      </c>
      <c r="I269">
        <v>6</v>
      </c>
      <c r="J269" t="s">
        <v>18</v>
      </c>
      <c r="K269" t="s">
        <v>25</v>
      </c>
      <c r="L269">
        <v>3</v>
      </c>
    </row>
    <row r="270" spans="1:12" x14ac:dyDescent="0.25">
      <c r="A270" t="s">
        <v>571</v>
      </c>
      <c r="B270" t="s">
        <v>572</v>
      </c>
      <c r="C270">
        <v>35</v>
      </c>
      <c r="D270" t="s">
        <v>14</v>
      </c>
      <c r="E270" t="s">
        <v>50</v>
      </c>
      <c r="F270" t="s">
        <v>74</v>
      </c>
      <c r="G270" t="s">
        <v>75</v>
      </c>
      <c r="H270">
        <v>716262</v>
      </c>
      <c r="I270">
        <v>9</v>
      </c>
      <c r="J270" t="s">
        <v>71</v>
      </c>
      <c r="K270" t="s">
        <v>25</v>
      </c>
      <c r="L270">
        <v>3</v>
      </c>
    </row>
    <row r="271" spans="1:12" x14ac:dyDescent="0.25">
      <c r="A271" t="s">
        <v>573</v>
      </c>
      <c r="B271" t="s">
        <v>574</v>
      </c>
      <c r="C271">
        <v>27</v>
      </c>
      <c r="D271" t="s">
        <v>22</v>
      </c>
      <c r="E271" t="s">
        <v>23</v>
      </c>
      <c r="F271" t="s">
        <v>136</v>
      </c>
      <c r="G271" t="s">
        <v>191</v>
      </c>
      <c r="H271">
        <v>1071403</v>
      </c>
      <c r="I271">
        <v>6</v>
      </c>
      <c r="J271" t="s">
        <v>18</v>
      </c>
      <c r="K271" t="s">
        <v>19</v>
      </c>
      <c r="L271">
        <v>3</v>
      </c>
    </row>
    <row r="272" spans="1:12" x14ac:dyDescent="0.25">
      <c r="A272" t="s">
        <v>575</v>
      </c>
      <c r="B272" t="s">
        <v>215</v>
      </c>
      <c r="C272">
        <v>25</v>
      </c>
      <c r="D272" t="s">
        <v>22</v>
      </c>
      <c r="E272" t="s">
        <v>28</v>
      </c>
      <c r="F272" t="s">
        <v>66</v>
      </c>
      <c r="G272" t="s">
        <v>198</v>
      </c>
      <c r="H272">
        <v>472859</v>
      </c>
      <c r="I272">
        <v>0</v>
      </c>
      <c r="J272" t="s">
        <v>42</v>
      </c>
      <c r="K272" t="s">
        <v>19</v>
      </c>
      <c r="L272">
        <v>2</v>
      </c>
    </row>
    <row r="273" spans="1:12" x14ac:dyDescent="0.25">
      <c r="A273" t="s">
        <v>576</v>
      </c>
      <c r="B273" t="s">
        <v>577</v>
      </c>
      <c r="C273">
        <v>40</v>
      </c>
      <c r="D273" t="s">
        <v>14</v>
      </c>
      <c r="E273" t="s">
        <v>15</v>
      </c>
      <c r="F273" t="s">
        <v>136</v>
      </c>
      <c r="G273" t="s">
        <v>191</v>
      </c>
      <c r="H273">
        <v>1430402</v>
      </c>
      <c r="I273">
        <v>13</v>
      </c>
      <c r="J273" t="s">
        <v>18</v>
      </c>
      <c r="K273" t="s">
        <v>25</v>
      </c>
      <c r="L273">
        <v>5</v>
      </c>
    </row>
    <row r="274" spans="1:12" x14ac:dyDescent="0.25">
      <c r="A274" t="s">
        <v>578</v>
      </c>
      <c r="B274" t="s">
        <v>579</v>
      </c>
      <c r="C274">
        <v>31</v>
      </c>
      <c r="D274" t="s">
        <v>22</v>
      </c>
      <c r="E274" t="s">
        <v>50</v>
      </c>
      <c r="F274" t="s">
        <v>66</v>
      </c>
      <c r="G274" t="s">
        <v>67</v>
      </c>
      <c r="H274">
        <v>800808</v>
      </c>
      <c r="I274">
        <v>2</v>
      </c>
      <c r="J274" t="s">
        <v>42</v>
      </c>
      <c r="K274" t="s">
        <v>19</v>
      </c>
      <c r="L274">
        <v>1</v>
      </c>
    </row>
    <row r="275" spans="1:12" x14ac:dyDescent="0.25">
      <c r="A275" t="s">
        <v>580</v>
      </c>
      <c r="B275" t="s">
        <v>581</v>
      </c>
      <c r="C275">
        <v>34</v>
      </c>
      <c r="D275" t="s">
        <v>14</v>
      </c>
      <c r="E275" t="s">
        <v>31</v>
      </c>
      <c r="F275" t="s">
        <v>40</v>
      </c>
      <c r="G275" t="s">
        <v>82</v>
      </c>
      <c r="H275">
        <v>863878</v>
      </c>
      <c r="I275">
        <v>6</v>
      </c>
      <c r="J275" t="s">
        <v>71</v>
      </c>
      <c r="K275" t="s">
        <v>25</v>
      </c>
      <c r="L275">
        <v>2</v>
      </c>
    </row>
    <row r="276" spans="1:12" x14ac:dyDescent="0.25">
      <c r="A276" t="s">
        <v>582</v>
      </c>
      <c r="B276" t="s">
        <v>583</v>
      </c>
      <c r="C276">
        <v>33</v>
      </c>
      <c r="D276" t="s">
        <v>14</v>
      </c>
      <c r="E276" t="s">
        <v>61</v>
      </c>
      <c r="F276" t="s">
        <v>74</v>
      </c>
      <c r="G276" t="s">
        <v>75</v>
      </c>
      <c r="H276">
        <v>741430</v>
      </c>
      <c r="I276">
        <v>9</v>
      </c>
      <c r="J276" t="s">
        <v>71</v>
      </c>
      <c r="K276" t="s">
        <v>25</v>
      </c>
      <c r="L276">
        <v>3</v>
      </c>
    </row>
    <row r="277" spans="1:12" x14ac:dyDescent="0.25">
      <c r="A277" t="s">
        <v>584</v>
      </c>
      <c r="B277" t="s">
        <v>585</v>
      </c>
      <c r="C277">
        <v>21</v>
      </c>
      <c r="D277" t="s">
        <v>14</v>
      </c>
      <c r="E277" t="s">
        <v>61</v>
      </c>
      <c r="F277" t="s">
        <v>54</v>
      </c>
      <c r="G277" t="s">
        <v>55</v>
      </c>
      <c r="H277">
        <v>1025817</v>
      </c>
      <c r="I277">
        <v>0</v>
      </c>
      <c r="J277" t="s">
        <v>71</v>
      </c>
      <c r="K277" t="s">
        <v>25</v>
      </c>
      <c r="L277">
        <v>3</v>
      </c>
    </row>
    <row r="278" spans="1:12" x14ac:dyDescent="0.25">
      <c r="A278" t="s">
        <v>586</v>
      </c>
      <c r="B278" t="s">
        <v>369</v>
      </c>
      <c r="C278">
        <v>23</v>
      </c>
      <c r="D278" t="s">
        <v>14</v>
      </c>
      <c r="E278" t="s">
        <v>45</v>
      </c>
      <c r="F278" t="s">
        <v>46</v>
      </c>
      <c r="G278" t="s">
        <v>116</v>
      </c>
      <c r="H278">
        <v>1331527</v>
      </c>
      <c r="I278">
        <v>0</v>
      </c>
      <c r="J278" t="s">
        <v>42</v>
      </c>
      <c r="K278" t="s">
        <v>25</v>
      </c>
      <c r="L278">
        <v>2</v>
      </c>
    </row>
    <row r="279" spans="1:12" x14ac:dyDescent="0.25">
      <c r="A279" t="s">
        <v>587</v>
      </c>
      <c r="B279" t="s">
        <v>588</v>
      </c>
      <c r="C279">
        <v>21</v>
      </c>
      <c r="D279" t="s">
        <v>22</v>
      </c>
      <c r="E279" t="s">
        <v>28</v>
      </c>
      <c r="F279" t="s">
        <v>46</v>
      </c>
      <c r="G279" t="s">
        <v>47</v>
      </c>
      <c r="H279">
        <v>1249259</v>
      </c>
      <c r="I279">
        <v>0</v>
      </c>
      <c r="J279" t="s">
        <v>36</v>
      </c>
      <c r="K279" t="s">
        <v>25</v>
      </c>
      <c r="L279">
        <v>3</v>
      </c>
    </row>
    <row r="280" spans="1:12" x14ac:dyDescent="0.25">
      <c r="A280" t="s">
        <v>589</v>
      </c>
      <c r="B280" t="s">
        <v>318</v>
      </c>
      <c r="C280">
        <v>28</v>
      </c>
      <c r="D280" t="s">
        <v>22</v>
      </c>
      <c r="E280" t="s">
        <v>78</v>
      </c>
      <c r="F280" t="s">
        <v>66</v>
      </c>
      <c r="G280" t="s">
        <v>67</v>
      </c>
      <c r="H280">
        <v>582793</v>
      </c>
      <c r="I280">
        <v>0</v>
      </c>
      <c r="J280" t="s">
        <v>42</v>
      </c>
      <c r="K280" t="s">
        <v>25</v>
      </c>
      <c r="L280">
        <v>5</v>
      </c>
    </row>
    <row r="281" spans="1:12" x14ac:dyDescent="0.25">
      <c r="A281" t="s">
        <v>590</v>
      </c>
      <c r="B281" t="s">
        <v>591</v>
      </c>
      <c r="C281">
        <v>33</v>
      </c>
      <c r="D281" t="s">
        <v>22</v>
      </c>
      <c r="E281" t="s">
        <v>78</v>
      </c>
      <c r="F281" t="s">
        <v>16</v>
      </c>
      <c r="G281" t="s">
        <v>51</v>
      </c>
      <c r="H281">
        <v>1553818</v>
      </c>
      <c r="I281">
        <v>9</v>
      </c>
      <c r="J281" t="s">
        <v>36</v>
      </c>
      <c r="K281" t="s">
        <v>25</v>
      </c>
      <c r="L281">
        <v>2</v>
      </c>
    </row>
    <row r="282" spans="1:12" x14ac:dyDescent="0.25">
      <c r="A282" t="s">
        <v>592</v>
      </c>
      <c r="B282" t="s">
        <v>593</v>
      </c>
      <c r="C282">
        <v>31</v>
      </c>
      <c r="D282" t="s">
        <v>14</v>
      </c>
      <c r="E282" t="s">
        <v>28</v>
      </c>
      <c r="F282" t="s">
        <v>46</v>
      </c>
      <c r="G282" t="s">
        <v>116</v>
      </c>
      <c r="H282">
        <v>1312974</v>
      </c>
      <c r="I282">
        <v>1</v>
      </c>
      <c r="J282" t="s">
        <v>42</v>
      </c>
      <c r="K282" t="s">
        <v>25</v>
      </c>
      <c r="L282">
        <v>3</v>
      </c>
    </row>
    <row r="283" spans="1:12" x14ac:dyDescent="0.25">
      <c r="A283" t="s">
        <v>594</v>
      </c>
      <c r="B283" t="s">
        <v>595</v>
      </c>
      <c r="C283">
        <v>39</v>
      </c>
      <c r="D283" t="s">
        <v>14</v>
      </c>
      <c r="E283" t="s">
        <v>50</v>
      </c>
      <c r="F283" t="s">
        <v>32</v>
      </c>
      <c r="G283" t="s">
        <v>129</v>
      </c>
      <c r="H283">
        <v>2006199</v>
      </c>
      <c r="I283">
        <v>8</v>
      </c>
      <c r="J283" t="s">
        <v>42</v>
      </c>
      <c r="K283" t="s">
        <v>25</v>
      </c>
      <c r="L283">
        <v>3</v>
      </c>
    </row>
    <row r="284" spans="1:12" x14ac:dyDescent="0.25">
      <c r="A284" t="s">
        <v>596</v>
      </c>
      <c r="B284" t="s">
        <v>597</v>
      </c>
      <c r="C284">
        <v>40</v>
      </c>
      <c r="D284" t="s">
        <v>22</v>
      </c>
      <c r="E284" t="s">
        <v>15</v>
      </c>
      <c r="F284" t="s">
        <v>54</v>
      </c>
      <c r="G284" t="s">
        <v>70</v>
      </c>
      <c r="H284">
        <v>1129922</v>
      </c>
      <c r="I284">
        <v>9</v>
      </c>
      <c r="J284" t="s">
        <v>42</v>
      </c>
      <c r="K284" t="s">
        <v>19</v>
      </c>
      <c r="L284">
        <v>4</v>
      </c>
    </row>
    <row r="285" spans="1:12" x14ac:dyDescent="0.25">
      <c r="A285" t="s">
        <v>598</v>
      </c>
      <c r="B285" t="s">
        <v>599</v>
      </c>
      <c r="C285">
        <v>30</v>
      </c>
      <c r="D285" t="s">
        <v>22</v>
      </c>
      <c r="E285" t="s">
        <v>28</v>
      </c>
      <c r="F285" t="s">
        <v>32</v>
      </c>
      <c r="G285" t="s">
        <v>79</v>
      </c>
      <c r="H285">
        <v>1317865</v>
      </c>
      <c r="I285">
        <v>6</v>
      </c>
      <c r="J285" t="s">
        <v>145</v>
      </c>
      <c r="K285" t="s">
        <v>25</v>
      </c>
      <c r="L285">
        <v>1</v>
      </c>
    </row>
    <row r="286" spans="1:12" x14ac:dyDescent="0.25">
      <c r="A286" t="s">
        <v>600</v>
      </c>
      <c r="B286" t="s">
        <v>601</v>
      </c>
      <c r="C286">
        <v>38</v>
      </c>
      <c r="D286" t="s">
        <v>22</v>
      </c>
      <c r="E286" t="s">
        <v>23</v>
      </c>
      <c r="F286" t="s">
        <v>16</v>
      </c>
      <c r="G286" t="s">
        <v>17</v>
      </c>
      <c r="H286">
        <v>1443085</v>
      </c>
      <c r="I286">
        <v>12</v>
      </c>
      <c r="J286" t="s">
        <v>18</v>
      </c>
      <c r="K286" t="s">
        <v>25</v>
      </c>
      <c r="L286">
        <v>3</v>
      </c>
    </row>
    <row r="287" spans="1:12" x14ac:dyDescent="0.25">
      <c r="A287" t="s">
        <v>602</v>
      </c>
      <c r="B287" t="s">
        <v>603</v>
      </c>
      <c r="C287">
        <v>28</v>
      </c>
      <c r="D287" t="s">
        <v>22</v>
      </c>
      <c r="E287" t="s">
        <v>85</v>
      </c>
      <c r="F287" t="s">
        <v>40</v>
      </c>
      <c r="G287" t="s">
        <v>58</v>
      </c>
      <c r="H287">
        <v>816177</v>
      </c>
      <c r="I287">
        <v>6</v>
      </c>
      <c r="J287" t="s">
        <v>18</v>
      </c>
      <c r="K287" t="s">
        <v>25</v>
      </c>
      <c r="L287">
        <v>4</v>
      </c>
    </row>
    <row r="288" spans="1:12" x14ac:dyDescent="0.25">
      <c r="A288" t="s">
        <v>604</v>
      </c>
      <c r="B288" t="s">
        <v>605</v>
      </c>
      <c r="C288">
        <v>34</v>
      </c>
      <c r="D288" t="s">
        <v>22</v>
      </c>
      <c r="E288" t="s">
        <v>31</v>
      </c>
      <c r="F288" t="s">
        <v>54</v>
      </c>
      <c r="G288" t="s">
        <v>119</v>
      </c>
      <c r="H288">
        <v>897605</v>
      </c>
      <c r="I288">
        <v>5</v>
      </c>
      <c r="J288" t="s">
        <v>42</v>
      </c>
      <c r="K288" t="s">
        <v>19</v>
      </c>
      <c r="L288">
        <v>3</v>
      </c>
    </row>
    <row r="289" spans="1:12" x14ac:dyDescent="0.25">
      <c r="A289" t="s">
        <v>606</v>
      </c>
      <c r="B289" t="s">
        <v>607</v>
      </c>
      <c r="C289">
        <v>35</v>
      </c>
      <c r="D289" t="s">
        <v>14</v>
      </c>
      <c r="E289" t="s">
        <v>23</v>
      </c>
      <c r="F289" t="s">
        <v>136</v>
      </c>
      <c r="G289" t="s">
        <v>137</v>
      </c>
      <c r="H289">
        <v>1155958</v>
      </c>
      <c r="I289">
        <v>7</v>
      </c>
      <c r="J289" t="s">
        <v>18</v>
      </c>
      <c r="K289" t="s">
        <v>19</v>
      </c>
      <c r="L289">
        <v>3</v>
      </c>
    </row>
    <row r="290" spans="1:12" x14ac:dyDescent="0.25">
      <c r="A290" t="s">
        <v>608</v>
      </c>
      <c r="B290" t="s">
        <v>362</v>
      </c>
      <c r="C290">
        <v>32</v>
      </c>
      <c r="D290" t="s">
        <v>22</v>
      </c>
      <c r="E290" t="s">
        <v>28</v>
      </c>
      <c r="F290" t="s">
        <v>40</v>
      </c>
      <c r="G290" t="s">
        <v>41</v>
      </c>
      <c r="H290">
        <v>945951</v>
      </c>
      <c r="I290">
        <v>7</v>
      </c>
      <c r="J290" t="s">
        <v>18</v>
      </c>
      <c r="K290" t="s">
        <v>19</v>
      </c>
      <c r="L290">
        <v>3</v>
      </c>
    </row>
    <row r="291" spans="1:12" x14ac:dyDescent="0.25">
      <c r="A291" t="s">
        <v>609</v>
      </c>
      <c r="B291" t="s">
        <v>610</v>
      </c>
      <c r="C291">
        <v>32</v>
      </c>
      <c r="D291" t="s">
        <v>14</v>
      </c>
      <c r="E291" t="s">
        <v>61</v>
      </c>
      <c r="F291" t="s">
        <v>40</v>
      </c>
      <c r="G291" t="s">
        <v>98</v>
      </c>
      <c r="H291">
        <v>768854</v>
      </c>
      <c r="I291">
        <v>1</v>
      </c>
      <c r="J291" t="s">
        <v>18</v>
      </c>
      <c r="K291" t="s">
        <v>25</v>
      </c>
      <c r="L291">
        <v>4</v>
      </c>
    </row>
    <row r="292" spans="1:12" x14ac:dyDescent="0.25">
      <c r="A292" t="s">
        <v>611</v>
      </c>
      <c r="B292" t="s">
        <v>612</v>
      </c>
      <c r="C292">
        <v>30</v>
      </c>
      <c r="D292" t="s">
        <v>14</v>
      </c>
      <c r="E292" t="s">
        <v>78</v>
      </c>
      <c r="F292" t="s">
        <v>32</v>
      </c>
      <c r="G292" t="s">
        <v>221</v>
      </c>
      <c r="H292">
        <v>1389600</v>
      </c>
      <c r="I292">
        <v>6</v>
      </c>
      <c r="J292" t="s">
        <v>18</v>
      </c>
      <c r="K292" t="s">
        <v>25</v>
      </c>
      <c r="L292">
        <v>3</v>
      </c>
    </row>
    <row r="293" spans="1:12" x14ac:dyDescent="0.25">
      <c r="A293" t="s">
        <v>613</v>
      </c>
      <c r="B293" t="s">
        <v>614</v>
      </c>
      <c r="C293">
        <v>32</v>
      </c>
      <c r="D293" t="s">
        <v>22</v>
      </c>
      <c r="E293" t="s">
        <v>45</v>
      </c>
      <c r="F293" t="s">
        <v>32</v>
      </c>
      <c r="G293" t="s">
        <v>129</v>
      </c>
      <c r="H293">
        <v>1539046</v>
      </c>
      <c r="I293">
        <v>0</v>
      </c>
      <c r="J293" t="s">
        <v>42</v>
      </c>
      <c r="K293" t="s">
        <v>25</v>
      </c>
      <c r="L293">
        <v>2</v>
      </c>
    </row>
    <row r="294" spans="1:12" x14ac:dyDescent="0.25">
      <c r="A294" t="s">
        <v>615</v>
      </c>
      <c r="B294" t="s">
        <v>167</v>
      </c>
      <c r="C294">
        <v>37</v>
      </c>
      <c r="D294" t="s">
        <v>14</v>
      </c>
      <c r="E294" t="s">
        <v>61</v>
      </c>
      <c r="F294" t="s">
        <v>54</v>
      </c>
      <c r="G294" t="s">
        <v>55</v>
      </c>
      <c r="H294">
        <v>1290993</v>
      </c>
      <c r="I294">
        <v>10</v>
      </c>
      <c r="J294" t="s">
        <v>42</v>
      </c>
      <c r="K294" t="s">
        <v>25</v>
      </c>
      <c r="L294">
        <v>4</v>
      </c>
    </row>
    <row r="295" spans="1:12" x14ac:dyDescent="0.25">
      <c r="A295" t="s">
        <v>616</v>
      </c>
      <c r="B295" t="s">
        <v>97</v>
      </c>
      <c r="C295">
        <v>32</v>
      </c>
      <c r="D295" t="s">
        <v>14</v>
      </c>
      <c r="E295" t="s">
        <v>39</v>
      </c>
      <c r="F295" t="s">
        <v>32</v>
      </c>
      <c r="G295" t="s">
        <v>33</v>
      </c>
      <c r="H295">
        <v>998164</v>
      </c>
      <c r="I295">
        <v>3</v>
      </c>
      <c r="J295" t="s">
        <v>18</v>
      </c>
      <c r="K295" t="s">
        <v>25</v>
      </c>
      <c r="L295">
        <v>4</v>
      </c>
    </row>
    <row r="296" spans="1:12" x14ac:dyDescent="0.25">
      <c r="A296" t="s">
        <v>617</v>
      </c>
      <c r="B296" t="s">
        <v>618</v>
      </c>
      <c r="C296">
        <v>27</v>
      </c>
      <c r="D296" t="s">
        <v>14</v>
      </c>
      <c r="E296" t="s">
        <v>50</v>
      </c>
      <c r="F296" t="s">
        <v>40</v>
      </c>
      <c r="G296" t="s">
        <v>58</v>
      </c>
      <c r="H296">
        <v>657739</v>
      </c>
      <c r="I296">
        <v>3</v>
      </c>
      <c r="J296" t="s">
        <v>36</v>
      </c>
      <c r="K296" t="s">
        <v>25</v>
      </c>
      <c r="L296">
        <v>2</v>
      </c>
    </row>
    <row r="297" spans="1:12" x14ac:dyDescent="0.25">
      <c r="A297" t="s">
        <v>619</v>
      </c>
      <c r="B297" t="s">
        <v>620</v>
      </c>
      <c r="C297">
        <v>39</v>
      </c>
      <c r="D297" t="s">
        <v>14</v>
      </c>
      <c r="E297" t="s">
        <v>31</v>
      </c>
      <c r="F297" t="s">
        <v>54</v>
      </c>
      <c r="G297" t="s">
        <v>88</v>
      </c>
      <c r="H297">
        <v>1063695</v>
      </c>
      <c r="I297">
        <v>8</v>
      </c>
      <c r="J297" t="s">
        <v>71</v>
      </c>
      <c r="K297" t="s">
        <v>25</v>
      </c>
      <c r="L297">
        <v>3</v>
      </c>
    </row>
    <row r="298" spans="1:12" x14ac:dyDescent="0.25">
      <c r="A298" t="s">
        <v>621</v>
      </c>
      <c r="B298" t="s">
        <v>30</v>
      </c>
      <c r="C298">
        <v>31</v>
      </c>
      <c r="D298" t="s">
        <v>14</v>
      </c>
      <c r="E298" t="s">
        <v>78</v>
      </c>
      <c r="F298" t="s">
        <v>136</v>
      </c>
      <c r="G298" t="s">
        <v>207</v>
      </c>
      <c r="H298">
        <v>1267001</v>
      </c>
      <c r="I298">
        <v>10</v>
      </c>
      <c r="J298" t="s">
        <v>42</v>
      </c>
      <c r="K298" t="s">
        <v>25</v>
      </c>
      <c r="L298">
        <v>3</v>
      </c>
    </row>
    <row r="299" spans="1:12" x14ac:dyDescent="0.25">
      <c r="A299" t="s">
        <v>622</v>
      </c>
      <c r="B299" t="s">
        <v>623</v>
      </c>
      <c r="C299">
        <v>26</v>
      </c>
      <c r="D299" t="s">
        <v>22</v>
      </c>
      <c r="E299" t="s">
        <v>85</v>
      </c>
      <c r="F299" t="s">
        <v>40</v>
      </c>
      <c r="G299" t="s">
        <v>82</v>
      </c>
      <c r="H299">
        <v>652758</v>
      </c>
      <c r="I299">
        <v>3</v>
      </c>
      <c r="J299" t="s">
        <v>18</v>
      </c>
      <c r="K299" t="s">
        <v>25</v>
      </c>
      <c r="L299">
        <v>4</v>
      </c>
    </row>
    <row r="300" spans="1:12" x14ac:dyDescent="0.25">
      <c r="A300" t="s">
        <v>624</v>
      </c>
      <c r="B300" t="s">
        <v>625</v>
      </c>
      <c r="C300">
        <v>34</v>
      </c>
      <c r="D300" t="s">
        <v>14</v>
      </c>
      <c r="E300" t="s">
        <v>23</v>
      </c>
      <c r="F300" t="s">
        <v>32</v>
      </c>
      <c r="G300" t="s">
        <v>221</v>
      </c>
      <c r="H300">
        <v>1252766</v>
      </c>
      <c r="I300">
        <v>6</v>
      </c>
      <c r="J300" t="s">
        <v>18</v>
      </c>
      <c r="K300" t="s">
        <v>25</v>
      </c>
      <c r="L300">
        <v>3</v>
      </c>
    </row>
    <row r="301" spans="1:12" x14ac:dyDescent="0.25">
      <c r="A301" t="s">
        <v>626</v>
      </c>
      <c r="B301" t="s">
        <v>627</v>
      </c>
      <c r="C301">
        <v>30</v>
      </c>
      <c r="D301" t="s">
        <v>14</v>
      </c>
      <c r="E301" t="s">
        <v>78</v>
      </c>
      <c r="F301" t="s">
        <v>74</v>
      </c>
      <c r="G301" t="s">
        <v>238</v>
      </c>
      <c r="H301">
        <v>645722</v>
      </c>
      <c r="I301">
        <v>3</v>
      </c>
      <c r="J301" t="s">
        <v>71</v>
      </c>
      <c r="K301" t="s">
        <v>25</v>
      </c>
      <c r="L301">
        <v>3</v>
      </c>
    </row>
    <row r="302" spans="1:12" x14ac:dyDescent="0.25">
      <c r="A302" t="s">
        <v>628</v>
      </c>
      <c r="B302" t="s">
        <v>629</v>
      </c>
      <c r="C302">
        <v>30</v>
      </c>
      <c r="D302" t="s">
        <v>14</v>
      </c>
      <c r="E302" t="s">
        <v>85</v>
      </c>
      <c r="F302" t="s">
        <v>32</v>
      </c>
      <c r="G302" t="s">
        <v>221</v>
      </c>
      <c r="H302">
        <v>1385719</v>
      </c>
      <c r="I302">
        <v>6</v>
      </c>
      <c r="J302" t="s">
        <v>42</v>
      </c>
      <c r="K302" t="s">
        <v>25</v>
      </c>
      <c r="L302">
        <v>3</v>
      </c>
    </row>
    <row r="303" spans="1:12" x14ac:dyDescent="0.25">
      <c r="A303" t="s">
        <v>630</v>
      </c>
      <c r="B303" t="s">
        <v>631</v>
      </c>
      <c r="C303">
        <v>29</v>
      </c>
      <c r="D303" t="s">
        <v>14</v>
      </c>
      <c r="E303" t="s">
        <v>45</v>
      </c>
      <c r="F303" t="s">
        <v>54</v>
      </c>
      <c r="G303" t="s">
        <v>55</v>
      </c>
      <c r="H303">
        <v>1022840</v>
      </c>
      <c r="I303">
        <v>0</v>
      </c>
      <c r="J303" t="s">
        <v>18</v>
      </c>
      <c r="K303" t="s">
        <v>25</v>
      </c>
      <c r="L303">
        <v>4</v>
      </c>
    </row>
    <row r="304" spans="1:12" x14ac:dyDescent="0.25">
      <c r="A304" t="s">
        <v>632</v>
      </c>
      <c r="B304" t="s">
        <v>633</v>
      </c>
      <c r="C304">
        <v>21</v>
      </c>
      <c r="D304" t="s">
        <v>14</v>
      </c>
      <c r="E304" t="s">
        <v>61</v>
      </c>
      <c r="F304" t="s">
        <v>74</v>
      </c>
      <c r="G304" t="s">
        <v>238</v>
      </c>
      <c r="H304">
        <v>292721</v>
      </c>
      <c r="I304">
        <v>0</v>
      </c>
      <c r="J304" t="s">
        <v>18</v>
      </c>
      <c r="K304" t="s">
        <v>19</v>
      </c>
      <c r="L304">
        <v>1</v>
      </c>
    </row>
    <row r="305" spans="1:12" x14ac:dyDescent="0.25">
      <c r="A305" t="s">
        <v>634</v>
      </c>
      <c r="B305" t="s">
        <v>529</v>
      </c>
      <c r="C305">
        <v>24</v>
      </c>
      <c r="D305" t="s">
        <v>14</v>
      </c>
      <c r="E305" t="s">
        <v>31</v>
      </c>
      <c r="F305" t="s">
        <v>32</v>
      </c>
      <c r="G305" t="s">
        <v>107</v>
      </c>
      <c r="H305">
        <v>1165307</v>
      </c>
      <c r="I305">
        <v>0</v>
      </c>
      <c r="J305" t="s">
        <v>42</v>
      </c>
      <c r="K305" t="s">
        <v>25</v>
      </c>
      <c r="L305">
        <v>1</v>
      </c>
    </row>
    <row r="306" spans="1:12" x14ac:dyDescent="0.25">
      <c r="A306" t="s">
        <v>635</v>
      </c>
      <c r="B306" t="s">
        <v>60</v>
      </c>
      <c r="C306">
        <v>46</v>
      </c>
      <c r="D306" t="s">
        <v>22</v>
      </c>
      <c r="E306" t="s">
        <v>31</v>
      </c>
      <c r="F306" t="s">
        <v>40</v>
      </c>
      <c r="G306" t="s">
        <v>82</v>
      </c>
      <c r="H306">
        <v>1240868</v>
      </c>
      <c r="I306">
        <v>14</v>
      </c>
      <c r="J306" t="s">
        <v>36</v>
      </c>
      <c r="K306" t="s">
        <v>19</v>
      </c>
      <c r="L306">
        <v>5</v>
      </c>
    </row>
    <row r="307" spans="1:12" x14ac:dyDescent="0.25">
      <c r="A307" t="s">
        <v>636</v>
      </c>
      <c r="B307" t="s">
        <v>637</v>
      </c>
      <c r="C307">
        <v>42</v>
      </c>
      <c r="D307" t="s">
        <v>14</v>
      </c>
      <c r="E307" t="s">
        <v>28</v>
      </c>
      <c r="F307" t="s">
        <v>16</v>
      </c>
      <c r="G307" t="s">
        <v>51</v>
      </c>
      <c r="H307">
        <v>1678263</v>
      </c>
      <c r="I307">
        <v>13</v>
      </c>
      <c r="J307" t="s">
        <v>18</v>
      </c>
      <c r="K307" t="s">
        <v>25</v>
      </c>
      <c r="L307">
        <v>1</v>
      </c>
    </row>
    <row r="308" spans="1:12" x14ac:dyDescent="0.25">
      <c r="A308" t="s">
        <v>638</v>
      </c>
      <c r="B308" t="s">
        <v>639</v>
      </c>
      <c r="C308">
        <v>21</v>
      </c>
      <c r="D308" t="s">
        <v>22</v>
      </c>
      <c r="E308" t="s">
        <v>45</v>
      </c>
      <c r="F308" t="s">
        <v>136</v>
      </c>
      <c r="G308" t="s">
        <v>142</v>
      </c>
      <c r="H308">
        <v>658980</v>
      </c>
      <c r="I308">
        <v>0</v>
      </c>
      <c r="J308" t="s">
        <v>18</v>
      </c>
      <c r="K308" t="s">
        <v>25</v>
      </c>
      <c r="L308">
        <v>5</v>
      </c>
    </row>
    <row r="309" spans="1:12" x14ac:dyDescent="0.25">
      <c r="A309" t="s">
        <v>640</v>
      </c>
      <c r="B309" t="s">
        <v>641</v>
      </c>
      <c r="C309">
        <v>22</v>
      </c>
      <c r="D309" t="s">
        <v>14</v>
      </c>
      <c r="E309" t="s">
        <v>61</v>
      </c>
      <c r="F309" t="s">
        <v>54</v>
      </c>
      <c r="G309" t="s">
        <v>70</v>
      </c>
      <c r="H309">
        <v>616955</v>
      </c>
      <c r="I309">
        <v>1</v>
      </c>
      <c r="J309" t="s">
        <v>18</v>
      </c>
      <c r="K309" t="s">
        <v>25</v>
      </c>
      <c r="L309">
        <v>3</v>
      </c>
    </row>
    <row r="310" spans="1:12" x14ac:dyDescent="0.25">
      <c r="A310" t="s">
        <v>642</v>
      </c>
      <c r="B310" t="s">
        <v>490</v>
      </c>
      <c r="C310">
        <v>26</v>
      </c>
      <c r="D310" t="s">
        <v>14</v>
      </c>
      <c r="E310" t="s">
        <v>39</v>
      </c>
      <c r="F310" t="s">
        <v>32</v>
      </c>
      <c r="G310" t="s">
        <v>33</v>
      </c>
      <c r="H310">
        <v>907446</v>
      </c>
      <c r="I310">
        <v>0</v>
      </c>
      <c r="J310" t="s">
        <v>42</v>
      </c>
      <c r="K310" t="s">
        <v>25</v>
      </c>
      <c r="L310">
        <v>5</v>
      </c>
    </row>
    <row r="311" spans="1:12" x14ac:dyDescent="0.25">
      <c r="A311" t="s">
        <v>643</v>
      </c>
      <c r="B311" t="s">
        <v>644</v>
      </c>
      <c r="C311">
        <v>31</v>
      </c>
      <c r="D311" t="s">
        <v>22</v>
      </c>
      <c r="E311" t="s">
        <v>15</v>
      </c>
      <c r="F311" t="s">
        <v>46</v>
      </c>
      <c r="G311" t="s">
        <v>113</v>
      </c>
      <c r="H311">
        <v>1195763</v>
      </c>
      <c r="I311">
        <v>5</v>
      </c>
      <c r="J311" t="s">
        <v>18</v>
      </c>
      <c r="K311" t="s">
        <v>25</v>
      </c>
      <c r="L311">
        <v>3</v>
      </c>
    </row>
    <row r="312" spans="1:12" x14ac:dyDescent="0.25">
      <c r="A312" t="s">
        <v>645</v>
      </c>
      <c r="B312" t="s">
        <v>550</v>
      </c>
      <c r="C312">
        <v>34</v>
      </c>
      <c r="D312" t="s">
        <v>14</v>
      </c>
      <c r="E312" t="s">
        <v>31</v>
      </c>
      <c r="F312" t="s">
        <v>54</v>
      </c>
      <c r="G312" t="s">
        <v>55</v>
      </c>
      <c r="H312">
        <v>1154313</v>
      </c>
      <c r="I312">
        <v>4</v>
      </c>
      <c r="J312" t="s">
        <v>42</v>
      </c>
      <c r="K312" t="s">
        <v>25</v>
      </c>
      <c r="L312">
        <v>3</v>
      </c>
    </row>
    <row r="313" spans="1:12" x14ac:dyDescent="0.25">
      <c r="A313" t="s">
        <v>646</v>
      </c>
      <c r="B313" t="s">
        <v>647</v>
      </c>
      <c r="C313">
        <v>29</v>
      </c>
      <c r="D313" t="s">
        <v>22</v>
      </c>
      <c r="E313" t="s">
        <v>39</v>
      </c>
      <c r="F313" t="s">
        <v>74</v>
      </c>
      <c r="G313" t="s">
        <v>75</v>
      </c>
      <c r="H313">
        <v>456817</v>
      </c>
      <c r="I313">
        <v>1</v>
      </c>
      <c r="J313" t="s">
        <v>18</v>
      </c>
      <c r="K313" t="s">
        <v>25</v>
      </c>
      <c r="L313">
        <v>3</v>
      </c>
    </row>
    <row r="314" spans="1:12" x14ac:dyDescent="0.25">
      <c r="A314" t="s">
        <v>648</v>
      </c>
      <c r="B314" t="s">
        <v>381</v>
      </c>
      <c r="C314">
        <v>24</v>
      </c>
      <c r="D314" t="s">
        <v>22</v>
      </c>
      <c r="E314" t="s">
        <v>23</v>
      </c>
      <c r="F314" t="s">
        <v>46</v>
      </c>
      <c r="G314" t="s">
        <v>110</v>
      </c>
      <c r="H314">
        <v>1650342</v>
      </c>
      <c r="I314">
        <v>1</v>
      </c>
      <c r="J314" t="s">
        <v>42</v>
      </c>
      <c r="K314" t="s">
        <v>19</v>
      </c>
      <c r="L314">
        <v>3</v>
      </c>
    </row>
    <row r="315" spans="1:12" x14ac:dyDescent="0.25">
      <c r="A315" t="s">
        <v>649</v>
      </c>
      <c r="B315" t="s">
        <v>650</v>
      </c>
      <c r="C315">
        <v>21</v>
      </c>
      <c r="D315" t="s">
        <v>14</v>
      </c>
      <c r="E315" t="s">
        <v>61</v>
      </c>
      <c r="F315" t="s">
        <v>32</v>
      </c>
      <c r="G315" t="s">
        <v>129</v>
      </c>
      <c r="H315">
        <v>1576056</v>
      </c>
      <c r="I315">
        <v>0</v>
      </c>
      <c r="J315" t="s">
        <v>18</v>
      </c>
      <c r="K315" t="s">
        <v>19</v>
      </c>
      <c r="L315">
        <v>2</v>
      </c>
    </row>
    <row r="316" spans="1:12" x14ac:dyDescent="0.25">
      <c r="A316" t="s">
        <v>651</v>
      </c>
      <c r="B316" t="s">
        <v>652</v>
      </c>
      <c r="C316">
        <v>35</v>
      </c>
      <c r="D316" t="s">
        <v>14</v>
      </c>
      <c r="E316" t="s">
        <v>61</v>
      </c>
      <c r="F316" t="s">
        <v>40</v>
      </c>
      <c r="G316" t="s">
        <v>82</v>
      </c>
      <c r="H316">
        <v>814316</v>
      </c>
      <c r="I316">
        <v>8</v>
      </c>
      <c r="J316" t="s">
        <v>71</v>
      </c>
      <c r="K316" t="s">
        <v>25</v>
      </c>
      <c r="L316">
        <v>3</v>
      </c>
    </row>
    <row r="317" spans="1:12" x14ac:dyDescent="0.25">
      <c r="A317" t="s">
        <v>653</v>
      </c>
      <c r="B317" t="s">
        <v>654</v>
      </c>
      <c r="C317">
        <v>34</v>
      </c>
      <c r="D317" t="s">
        <v>22</v>
      </c>
      <c r="E317" t="s">
        <v>23</v>
      </c>
      <c r="F317" t="s">
        <v>46</v>
      </c>
      <c r="G317" t="s">
        <v>110</v>
      </c>
      <c r="H317">
        <v>1790421</v>
      </c>
      <c r="I317">
        <v>7</v>
      </c>
      <c r="J317" t="s">
        <v>18</v>
      </c>
      <c r="K317" t="s">
        <v>25</v>
      </c>
      <c r="L317">
        <v>4</v>
      </c>
    </row>
    <row r="318" spans="1:12" x14ac:dyDescent="0.25">
      <c r="A318" t="s">
        <v>655</v>
      </c>
      <c r="B318" t="s">
        <v>656</v>
      </c>
      <c r="C318">
        <v>32</v>
      </c>
      <c r="D318" t="s">
        <v>22</v>
      </c>
      <c r="E318" t="s">
        <v>15</v>
      </c>
      <c r="F318" t="s">
        <v>46</v>
      </c>
      <c r="G318" t="s">
        <v>47</v>
      </c>
      <c r="H318">
        <v>1582359</v>
      </c>
      <c r="I318">
        <v>7</v>
      </c>
      <c r="J318" t="s">
        <v>36</v>
      </c>
      <c r="K318" t="s">
        <v>25</v>
      </c>
      <c r="L318">
        <v>3</v>
      </c>
    </row>
    <row r="319" spans="1:12" x14ac:dyDescent="0.25">
      <c r="A319" t="s">
        <v>657</v>
      </c>
      <c r="B319" t="s">
        <v>658</v>
      </c>
      <c r="C319">
        <v>23</v>
      </c>
      <c r="D319" t="s">
        <v>22</v>
      </c>
      <c r="E319" t="s">
        <v>61</v>
      </c>
      <c r="F319" t="s">
        <v>32</v>
      </c>
      <c r="G319" t="s">
        <v>107</v>
      </c>
      <c r="H319">
        <v>1255016</v>
      </c>
      <c r="I319">
        <v>0</v>
      </c>
      <c r="J319" t="s">
        <v>36</v>
      </c>
      <c r="K319" t="s">
        <v>19</v>
      </c>
      <c r="L319">
        <v>3</v>
      </c>
    </row>
    <row r="320" spans="1:12" x14ac:dyDescent="0.25">
      <c r="A320" t="s">
        <v>659</v>
      </c>
      <c r="B320" t="s">
        <v>660</v>
      </c>
      <c r="C320">
        <v>36</v>
      </c>
      <c r="D320" t="s">
        <v>14</v>
      </c>
      <c r="E320" t="s">
        <v>23</v>
      </c>
      <c r="F320" t="s">
        <v>40</v>
      </c>
      <c r="G320" t="s">
        <v>58</v>
      </c>
      <c r="H320">
        <v>822389</v>
      </c>
      <c r="I320">
        <v>7</v>
      </c>
      <c r="J320" t="s">
        <v>42</v>
      </c>
      <c r="K320" t="s">
        <v>25</v>
      </c>
      <c r="L320">
        <v>4</v>
      </c>
    </row>
    <row r="321" spans="1:12" x14ac:dyDescent="0.25">
      <c r="A321" t="s">
        <v>661</v>
      </c>
      <c r="B321" t="s">
        <v>662</v>
      </c>
      <c r="C321">
        <v>24</v>
      </c>
      <c r="D321" t="s">
        <v>14</v>
      </c>
      <c r="E321" t="s">
        <v>78</v>
      </c>
      <c r="F321" t="s">
        <v>32</v>
      </c>
      <c r="G321" t="s">
        <v>79</v>
      </c>
      <c r="H321">
        <v>1176548</v>
      </c>
      <c r="I321">
        <v>0</v>
      </c>
      <c r="J321" t="s">
        <v>42</v>
      </c>
      <c r="K321" t="s">
        <v>19</v>
      </c>
      <c r="L321">
        <v>2</v>
      </c>
    </row>
    <row r="322" spans="1:12" x14ac:dyDescent="0.25">
      <c r="A322" t="s">
        <v>663</v>
      </c>
      <c r="B322" t="s">
        <v>195</v>
      </c>
      <c r="C322">
        <v>22</v>
      </c>
      <c r="D322" t="s">
        <v>14</v>
      </c>
      <c r="E322" t="s">
        <v>31</v>
      </c>
      <c r="F322" t="s">
        <v>54</v>
      </c>
      <c r="G322" t="s">
        <v>88</v>
      </c>
      <c r="H322">
        <v>634046</v>
      </c>
      <c r="I322">
        <v>0</v>
      </c>
      <c r="J322" t="s">
        <v>71</v>
      </c>
      <c r="K322" t="s">
        <v>25</v>
      </c>
      <c r="L322">
        <v>3</v>
      </c>
    </row>
    <row r="323" spans="1:12" x14ac:dyDescent="0.25">
      <c r="A323" t="s">
        <v>664</v>
      </c>
      <c r="B323" t="s">
        <v>535</v>
      </c>
      <c r="C323">
        <v>36</v>
      </c>
      <c r="D323" t="s">
        <v>14</v>
      </c>
      <c r="E323" t="s">
        <v>23</v>
      </c>
      <c r="F323" t="s">
        <v>32</v>
      </c>
      <c r="G323" t="s">
        <v>129</v>
      </c>
      <c r="H323">
        <v>1622833</v>
      </c>
      <c r="I323">
        <v>2</v>
      </c>
      <c r="J323" t="s">
        <v>18</v>
      </c>
      <c r="K323" t="s">
        <v>25</v>
      </c>
      <c r="L323">
        <v>2</v>
      </c>
    </row>
    <row r="324" spans="1:12" x14ac:dyDescent="0.25">
      <c r="A324" t="s">
        <v>665</v>
      </c>
      <c r="B324" t="s">
        <v>666</v>
      </c>
      <c r="C324">
        <v>21</v>
      </c>
      <c r="D324" t="s">
        <v>14</v>
      </c>
      <c r="E324" t="s">
        <v>45</v>
      </c>
      <c r="F324" t="s">
        <v>66</v>
      </c>
      <c r="G324" t="s">
        <v>101</v>
      </c>
      <c r="H324">
        <v>861251</v>
      </c>
      <c r="I324">
        <v>0</v>
      </c>
      <c r="J324" t="s">
        <v>18</v>
      </c>
      <c r="K324" t="s">
        <v>25</v>
      </c>
      <c r="L324">
        <v>3</v>
      </c>
    </row>
    <row r="325" spans="1:12" x14ac:dyDescent="0.25">
      <c r="A325" t="s">
        <v>667</v>
      </c>
      <c r="B325" t="s">
        <v>668</v>
      </c>
      <c r="C325">
        <v>30</v>
      </c>
      <c r="D325" t="s">
        <v>22</v>
      </c>
      <c r="E325" t="s">
        <v>15</v>
      </c>
      <c r="F325" t="s">
        <v>32</v>
      </c>
      <c r="G325" t="s">
        <v>33</v>
      </c>
      <c r="H325">
        <v>1264218</v>
      </c>
      <c r="I325">
        <v>9</v>
      </c>
      <c r="J325" t="s">
        <v>36</v>
      </c>
      <c r="K325" t="s">
        <v>25</v>
      </c>
      <c r="L325">
        <v>3</v>
      </c>
    </row>
    <row r="326" spans="1:12" x14ac:dyDescent="0.25">
      <c r="A326" t="s">
        <v>669</v>
      </c>
      <c r="B326" t="s">
        <v>670</v>
      </c>
      <c r="C326">
        <v>41</v>
      </c>
      <c r="D326" t="s">
        <v>22</v>
      </c>
      <c r="E326" t="s">
        <v>31</v>
      </c>
      <c r="F326" t="s">
        <v>32</v>
      </c>
      <c r="G326" t="s">
        <v>107</v>
      </c>
      <c r="H326">
        <v>1624312</v>
      </c>
      <c r="I326">
        <v>9</v>
      </c>
      <c r="J326" t="s">
        <v>42</v>
      </c>
      <c r="K326" t="s">
        <v>25</v>
      </c>
      <c r="L326">
        <v>2</v>
      </c>
    </row>
    <row r="327" spans="1:12" x14ac:dyDescent="0.25">
      <c r="A327" t="s">
        <v>671</v>
      </c>
      <c r="B327" t="s">
        <v>658</v>
      </c>
      <c r="C327">
        <v>22</v>
      </c>
      <c r="D327" t="s">
        <v>22</v>
      </c>
      <c r="E327" t="s">
        <v>61</v>
      </c>
      <c r="F327" t="s">
        <v>74</v>
      </c>
      <c r="G327" t="s">
        <v>251</v>
      </c>
      <c r="H327">
        <v>492905</v>
      </c>
      <c r="I327">
        <v>0</v>
      </c>
      <c r="J327" t="s">
        <v>71</v>
      </c>
      <c r="K327" t="s">
        <v>25</v>
      </c>
      <c r="L327">
        <v>3</v>
      </c>
    </row>
    <row r="328" spans="1:12" x14ac:dyDescent="0.25">
      <c r="A328" t="s">
        <v>672</v>
      </c>
      <c r="B328" t="s">
        <v>673</v>
      </c>
      <c r="C328">
        <v>25</v>
      </c>
      <c r="D328" t="s">
        <v>22</v>
      </c>
      <c r="E328" t="s">
        <v>31</v>
      </c>
      <c r="F328" t="s">
        <v>74</v>
      </c>
      <c r="G328" t="s">
        <v>251</v>
      </c>
      <c r="H328">
        <v>678441</v>
      </c>
      <c r="I328">
        <v>3</v>
      </c>
      <c r="J328" t="s">
        <v>42</v>
      </c>
      <c r="K328" t="s">
        <v>19</v>
      </c>
      <c r="L328">
        <v>1</v>
      </c>
    </row>
    <row r="329" spans="1:12" x14ac:dyDescent="0.25">
      <c r="A329" t="s">
        <v>674</v>
      </c>
      <c r="B329" t="s">
        <v>675</v>
      </c>
      <c r="C329">
        <v>21</v>
      </c>
      <c r="D329" t="s">
        <v>22</v>
      </c>
      <c r="E329" t="s">
        <v>39</v>
      </c>
      <c r="F329" t="s">
        <v>46</v>
      </c>
      <c r="G329" t="s">
        <v>47</v>
      </c>
      <c r="H329">
        <v>1178073</v>
      </c>
      <c r="I329">
        <v>0</v>
      </c>
      <c r="J329" t="s">
        <v>18</v>
      </c>
      <c r="K329" t="s">
        <v>25</v>
      </c>
      <c r="L329">
        <v>3</v>
      </c>
    </row>
    <row r="330" spans="1:12" x14ac:dyDescent="0.25">
      <c r="A330" t="s">
        <v>676</v>
      </c>
      <c r="B330" t="s">
        <v>677</v>
      </c>
      <c r="C330">
        <v>40</v>
      </c>
      <c r="D330" t="s">
        <v>14</v>
      </c>
      <c r="E330" t="s">
        <v>39</v>
      </c>
      <c r="F330" t="s">
        <v>74</v>
      </c>
      <c r="G330" t="s">
        <v>251</v>
      </c>
      <c r="H330">
        <v>969393</v>
      </c>
      <c r="I330">
        <v>12</v>
      </c>
      <c r="J330" t="s">
        <v>18</v>
      </c>
      <c r="K330" t="s">
        <v>25</v>
      </c>
      <c r="L330">
        <v>3</v>
      </c>
    </row>
    <row r="331" spans="1:12" x14ac:dyDescent="0.25">
      <c r="A331" t="s">
        <v>678</v>
      </c>
      <c r="B331" t="s">
        <v>513</v>
      </c>
      <c r="C331">
        <v>23</v>
      </c>
      <c r="D331" t="s">
        <v>14</v>
      </c>
      <c r="E331" t="s">
        <v>85</v>
      </c>
      <c r="F331" t="s">
        <v>54</v>
      </c>
      <c r="G331" t="s">
        <v>70</v>
      </c>
      <c r="H331">
        <v>567361</v>
      </c>
      <c r="I331">
        <v>2</v>
      </c>
      <c r="J331" t="s">
        <v>71</v>
      </c>
      <c r="K331" t="s">
        <v>25</v>
      </c>
      <c r="L331">
        <v>4</v>
      </c>
    </row>
    <row r="332" spans="1:12" x14ac:dyDescent="0.25">
      <c r="A332" t="s">
        <v>679</v>
      </c>
      <c r="B332" t="s">
        <v>680</v>
      </c>
      <c r="C332">
        <v>27</v>
      </c>
      <c r="D332" t="s">
        <v>22</v>
      </c>
      <c r="E332" t="s">
        <v>78</v>
      </c>
      <c r="F332" t="s">
        <v>32</v>
      </c>
      <c r="G332" t="s">
        <v>107</v>
      </c>
      <c r="H332">
        <v>1360727</v>
      </c>
      <c r="I332">
        <v>3</v>
      </c>
      <c r="J332" t="s">
        <v>42</v>
      </c>
      <c r="K332" t="s">
        <v>25</v>
      </c>
      <c r="L332">
        <v>3</v>
      </c>
    </row>
    <row r="333" spans="1:12" x14ac:dyDescent="0.25">
      <c r="A333" t="s">
        <v>681</v>
      </c>
      <c r="B333" t="s">
        <v>682</v>
      </c>
      <c r="C333">
        <v>28</v>
      </c>
      <c r="D333" t="s">
        <v>14</v>
      </c>
      <c r="E333" t="s">
        <v>39</v>
      </c>
      <c r="F333" t="s">
        <v>40</v>
      </c>
      <c r="G333" t="s">
        <v>58</v>
      </c>
      <c r="H333">
        <v>689722</v>
      </c>
      <c r="I333">
        <v>5</v>
      </c>
      <c r="J333" t="s">
        <v>36</v>
      </c>
      <c r="K333" t="s">
        <v>19</v>
      </c>
      <c r="L333">
        <v>4</v>
      </c>
    </row>
    <row r="334" spans="1:12" x14ac:dyDescent="0.25">
      <c r="A334" t="s">
        <v>683</v>
      </c>
      <c r="B334" t="s">
        <v>644</v>
      </c>
      <c r="C334">
        <v>21</v>
      </c>
      <c r="D334" t="s">
        <v>14</v>
      </c>
      <c r="E334" t="s">
        <v>28</v>
      </c>
      <c r="F334" t="s">
        <v>46</v>
      </c>
      <c r="G334" t="s">
        <v>110</v>
      </c>
      <c r="H334">
        <v>1732374</v>
      </c>
      <c r="I334">
        <v>0</v>
      </c>
      <c r="J334" t="s">
        <v>36</v>
      </c>
      <c r="K334" t="s">
        <v>25</v>
      </c>
      <c r="L334">
        <v>3</v>
      </c>
    </row>
    <row r="335" spans="1:12" x14ac:dyDescent="0.25">
      <c r="A335" t="s">
        <v>684</v>
      </c>
      <c r="B335" t="s">
        <v>685</v>
      </c>
      <c r="C335">
        <v>38</v>
      </c>
      <c r="D335" t="s">
        <v>22</v>
      </c>
      <c r="E335" t="s">
        <v>45</v>
      </c>
      <c r="F335" t="s">
        <v>40</v>
      </c>
      <c r="G335" t="s">
        <v>58</v>
      </c>
      <c r="H335">
        <v>1232942</v>
      </c>
      <c r="I335">
        <v>11</v>
      </c>
      <c r="J335" t="s">
        <v>145</v>
      </c>
      <c r="K335" t="s">
        <v>25</v>
      </c>
      <c r="L335">
        <v>2</v>
      </c>
    </row>
    <row r="336" spans="1:12" x14ac:dyDescent="0.25">
      <c r="A336" t="s">
        <v>686</v>
      </c>
      <c r="B336" t="s">
        <v>687</v>
      </c>
      <c r="C336">
        <v>39</v>
      </c>
      <c r="D336" t="s">
        <v>14</v>
      </c>
      <c r="E336" t="s">
        <v>78</v>
      </c>
      <c r="F336" t="s">
        <v>32</v>
      </c>
      <c r="G336" t="s">
        <v>79</v>
      </c>
      <c r="H336">
        <v>1637285</v>
      </c>
      <c r="I336">
        <v>12</v>
      </c>
      <c r="J336" t="s">
        <v>145</v>
      </c>
      <c r="K336" t="s">
        <v>25</v>
      </c>
      <c r="L336">
        <v>2</v>
      </c>
    </row>
    <row r="337" spans="1:12" x14ac:dyDescent="0.25">
      <c r="A337" t="s">
        <v>688</v>
      </c>
      <c r="B337" t="s">
        <v>689</v>
      </c>
      <c r="C337">
        <v>31</v>
      </c>
      <c r="D337" t="s">
        <v>22</v>
      </c>
      <c r="E337" t="s">
        <v>39</v>
      </c>
      <c r="F337" t="s">
        <v>74</v>
      </c>
      <c r="G337" t="s">
        <v>75</v>
      </c>
      <c r="H337">
        <v>698556</v>
      </c>
      <c r="I337">
        <v>4</v>
      </c>
      <c r="J337" t="s">
        <v>18</v>
      </c>
      <c r="K337" t="s">
        <v>25</v>
      </c>
      <c r="L337">
        <v>3</v>
      </c>
    </row>
    <row r="338" spans="1:12" x14ac:dyDescent="0.25">
      <c r="A338" t="s">
        <v>690</v>
      </c>
      <c r="B338" t="s">
        <v>631</v>
      </c>
      <c r="C338">
        <v>37</v>
      </c>
      <c r="D338" t="s">
        <v>14</v>
      </c>
      <c r="E338" t="s">
        <v>85</v>
      </c>
      <c r="F338" t="s">
        <v>74</v>
      </c>
      <c r="G338" t="s">
        <v>238</v>
      </c>
      <c r="H338">
        <v>888730</v>
      </c>
      <c r="I338">
        <v>5</v>
      </c>
      <c r="J338" t="s">
        <v>42</v>
      </c>
      <c r="K338" t="s">
        <v>25</v>
      </c>
      <c r="L338">
        <v>4</v>
      </c>
    </row>
    <row r="339" spans="1:12" x14ac:dyDescent="0.25">
      <c r="A339" t="s">
        <v>691</v>
      </c>
      <c r="B339" t="s">
        <v>692</v>
      </c>
      <c r="C339">
        <v>32</v>
      </c>
      <c r="D339" t="s">
        <v>22</v>
      </c>
      <c r="E339" t="s">
        <v>61</v>
      </c>
      <c r="F339" t="s">
        <v>16</v>
      </c>
      <c r="G339" t="s">
        <v>17</v>
      </c>
      <c r="H339">
        <v>998743</v>
      </c>
      <c r="I339">
        <v>0</v>
      </c>
      <c r="J339" t="s">
        <v>36</v>
      </c>
      <c r="K339" t="s">
        <v>25</v>
      </c>
      <c r="L339">
        <v>2</v>
      </c>
    </row>
    <row r="340" spans="1:12" x14ac:dyDescent="0.25">
      <c r="A340" t="s">
        <v>693</v>
      </c>
      <c r="B340" t="s">
        <v>694</v>
      </c>
      <c r="C340">
        <v>34</v>
      </c>
      <c r="D340" t="s">
        <v>14</v>
      </c>
      <c r="E340" t="s">
        <v>61</v>
      </c>
      <c r="F340" t="s">
        <v>54</v>
      </c>
      <c r="G340" t="s">
        <v>119</v>
      </c>
      <c r="H340">
        <v>1055042</v>
      </c>
      <c r="I340">
        <v>9</v>
      </c>
      <c r="J340" t="s">
        <v>18</v>
      </c>
      <c r="K340" t="s">
        <v>25</v>
      </c>
      <c r="L340">
        <v>4</v>
      </c>
    </row>
    <row r="341" spans="1:12" x14ac:dyDescent="0.25">
      <c r="A341" t="s">
        <v>695</v>
      </c>
      <c r="B341" t="s">
        <v>696</v>
      </c>
      <c r="C341">
        <v>45</v>
      </c>
      <c r="D341" t="s">
        <v>14</v>
      </c>
      <c r="E341" t="s">
        <v>31</v>
      </c>
      <c r="F341" t="s">
        <v>32</v>
      </c>
      <c r="G341" t="s">
        <v>79</v>
      </c>
      <c r="H341">
        <v>1665404</v>
      </c>
      <c r="I341">
        <v>12</v>
      </c>
      <c r="J341" t="s">
        <v>18</v>
      </c>
      <c r="K341" t="s">
        <v>25</v>
      </c>
      <c r="L341">
        <v>3</v>
      </c>
    </row>
    <row r="342" spans="1:12" x14ac:dyDescent="0.25">
      <c r="A342" t="s">
        <v>697</v>
      </c>
      <c r="B342" t="s">
        <v>169</v>
      </c>
      <c r="C342">
        <v>40</v>
      </c>
      <c r="D342" t="s">
        <v>22</v>
      </c>
      <c r="E342" t="s">
        <v>23</v>
      </c>
      <c r="F342" t="s">
        <v>136</v>
      </c>
      <c r="G342" t="s">
        <v>142</v>
      </c>
      <c r="H342">
        <v>821671</v>
      </c>
      <c r="I342">
        <v>7</v>
      </c>
      <c r="J342" t="s">
        <v>18</v>
      </c>
      <c r="K342" t="s">
        <v>25</v>
      </c>
      <c r="L342">
        <v>3</v>
      </c>
    </row>
    <row r="343" spans="1:12" x14ac:dyDescent="0.25">
      <c r="A343" t="s">
        <v>698</v>
      </c>
      <c r="B343" t="s">
        <v>699</v>
      </c>
      <c r="C343">
        <v>38</v>
      </c>
      <c r="D343" t="s">
        <v>14</v>
      </c>
      <c r="E343" t="s">
        <v>15</v>
      </c>
      <c r="F343" t="s">
        <v>46</v>
      </c>
      <c r="G343" t="s">
        <v>47</v>
      </c>
      <c r="H343">
        <v>1555654</v>
      </c>
      <c r="I343">
        <v>8</v>
      </c>
      <c r="J343" t="s">
        <v>42</v>
      </c>
      <c r="K343" t="s">
        <v>25</v>
      </c>
      <c r="L343">
        <v>3</v>
      </c>
    </row>
    <row r="344" spans="1:12" x14ac:dyDescent="0.25">
      <c r="A344" t="s">
        <v>700</v>
      </c>
      <c r="B344" t="s">
        <v>411</v>
      </c>
      <c r="C344">
        <v>42</v>
      </c>
      <c r="D344" t="s">
        <v>14</v>
      </c>
      <c r="E344" t="s">
        <v>39</v>
      </c>
      <c r="F344" t="s">
        <v>16</v>
      </c>
      <c r="G344" t="s">
        <v>17</v>
      </c>
      <c r="H344">
        <v>1204363</v>
      </c>
      <c r="I344">
        <v>10</v>
      </c>
      <c r="J344" t="s">
        <v>18</v>
      </c>
      <c r="K344" t="s">
        <v>19</v>
      </c>
      <c r="L344">
        <v>5</v>
      </c>
    </row>
    <row r="345" spans="1:12" x14ac:dyDescent="0.25">
      <c r="A345" t="s">
        <v>701</v>
      </c>
      <c r="B345" t="s">
        <v>702</v>
      </c>
      <c r="C345">
        <v>21</v>
      </c>
      <c r="D345" t="s">
        <v>14</v>
      </c>
      <c r="E345" t="s">
        <v>15</v>
      </c>
      <c r="F345" t="s">
        <v>54</v>
      </c>
      <c r="G345" t="s">
        <v>70</v>
      </c>
      <c r="H345">
        <v>566819</v>
      </c>
      <c r="I345">
        <v>0</v>
      </c>
      <c r="J345" t="s">
        <v>36</v>
      </c>
      <c r="K345" t="s">
        <v>25</v>
      </c>
      <c r="L345">
        <v>3</v>
      </c>
    </row>
    <row r="346" spans="1:12" x14ac:dyDescent="0.25">
      <c r="A346" t="s">
        <v>703</v>
      </c>
      <c r="B346" t="s">
        <v>704</v>
      </c>
      <c r="C346">
        <v>26</v>
      </c>
      <c r="D346" t="s">
        <v>14</v>
      </c>
      <c r="E346" t="s">
        <v>15</v>
      </c>
      <c r="F346" t="s">
        <v>32</v>
      </c>
      <c r="G346" t="s">
        <v>221</v>
      </c>
      <c r="H346">
        <v>1197860</v>
      </c>
      <c r="I346">
        <v>0</v>
      </c>
      <c r="J346" t="s">
        <v>18</v>
      </c>
      <c r="K346" t="s">
        <v>25</v>
      </c>
      <c r="L346">
        <v>5</v>
      </c>
    </row>
    <row r="347" spans="1:12" x14ac:dyDescent="0.25">
      <c r="A347" t="s">
        <v>705</v>
      </c>
      <c r="B347" t="s">
        <v>706</v>
      </c>
      <c r="C347">
        <v>22</v>
      </c>
      <c r="D347" t="s">
        <v>14</v>
      </c>
      <c r="E347" t="s">
        <v>61</v>
      </c>
      <c r="F347" t="s">
        <v>32</v>
      </c>
      <c r="G347" t="s">
        <v>107</v>
      </c>
      <c r="H347">
        <v>1158051</v>
      </c>
      <c r="I347">
        <v>0</v>
      </c>
      <c r="J347" t="s">
        <v>42</v>
      </c>
      <c r="K347" t="s">
        <v>19</v>
      </c>
      <c r="L347">
        <v>3</v>
      </c>
    </row>
    <row r="348" spans="1:12" x14ac:dyDescent="0.25">
      <c r="A348" t="s">
        <v>707</v>
      </c>
      <c r="B348" t="s">
        <v>682</v>
      </c>
      <c r="C348">
        <v>40</v>
      </c>
      <c r="D348" t="s">
        <v>14</v>
      </c>
      <c r="E348" t="s">
        <v>45</v>
      </c>
      <c r="F348" t="s">
        <v>32</v>
      </c>
      <c r="G348" t="s">
        <v>79</v>
      </c>
      <c r="H348">
        <v>1756504</v>
      </c>
      <c r="I348">
        <v>13</v>
      </c>
      <c r="J348" t="s">
        <v>18</v>
      </c>
      <c r="K348" t="s">
        <v>25</v>
      </c>
      <c r="L348">
        <v>4</v>
      </c>
    </row>
    <row r="349" spans="1:12" x14ac:dyDescent="0.25">
      <c r="A349" t="s">
        <v>708</v>
      </c>
      <c r="B349" t="s">
        <v>709</v>
      </c>
      <c r="C349">
        <v>21</v>
      </c>
      <c r="D349" t="s">
        <v>14</v>
      </c>
      <c r="E349" t="s">
        <v>45</v>
      </c>
      <c r="F349" t="s">
        <v>40</v>
      </c>
      <c r="G349" t="s">
        <v>82</v>
      </c>
      <c r="H349">
        <v>600653</v>
      </c>
      <c r="I349">
        <v>0</v>
      </c>
      <c r="J349" t="s">
        <v>42</v>
      </c>
      <c r="K349" t="s">
        <v>25</v>
      </c>
      <c r="L349">
        <v>3</v>
      </c>
    </row>
    <row r="350" spans="1:12" x14ac:dyDescent="0.25">
      <c r="A350" t="s">
        <v>710</v>
      </c>
      <c r="B350" t="s">
        <v>711</v>
      </c>
      <c r="C350">
        <v>32</v>
      </c>
      <c r="D350" t="s">
        <v>14</v>
      </c>
      <c r="E350" t="s">
        <v>61</v>
      </c>
      <c r="F350" t="s">
        <v>40</v>
      </c>
      <c r="G350" t="s">
        <v>58</v>
      </c>
      <c r="H350">
        <v>715120</v>
      </c>
      <c r="I350">
        <v>5</v>
      </c>
      <c r="J350" t="s">
        <v>18</v>
      </c>
      <c r="K350" t="s">
        <v>25</v>
      </c>
      <c r="L350">
        <v>4</v>
      </c>
    </row>
    <row r="351" spans="1:12" x14ac:dyDescent="0.25">
      <c r="A351" t="s">
        <v>712</v>
      </c>
      <c r="B351" t="s">
        <v>689</v>
      </c>
      <c r="C351">
        <v>35</v>
      </c>
      <c r="D351" t="s">
        <v>22</v>
      </c>
      <c r="E351" t="s">
        <v>45</v>
      </c>
      <c r="F351" t="s">
        <v>16</v>
      </c>
      <c r="G351" t="s">
        <v>17</v>
      </c>
      <c r="H351">
        <v>1199308</v>
      </c>
      <c r="I351">
        <v>7</v>
      </c>
      <c r="J351" t="s">
        <v>36</v>
      </c>
      <c r="K351" t="s">
        <v>25</v>
      </c>
      <c r="L351">
        <v>4</v>
      </c>
    </row>
    <row r="352" spans="1:12" x14ac:dyDescent="0.25">
      <c r="A352" t="s">
        <v>713</v>
      </c>
      <c r="B352" t="s">
        <v>714</v>
      </c>
      <c r="C352">
        <v>43</v>
      </c>
      <c r="D352" t="s">
        <v>14</v>
      </c>
      <c r="E352" t="s">
        <v>23</v>
      </c>
      <c r="F352" t="s">
        <v>66</v>
      </c>
      <c r="G352" t="s">
        <v>101</v>
      </c>
      <c r="H352">
        <v>1503141</v>
      </c>
      <c r="I352">
        <v>10</v>
      </c>
      <c r="J352" t="s">
        <v>42</v>
      </c>
      <c r="K352" t="s">
        <v>25</v>
      </c>
      <c r="L352">
        <v>3</v>
      </c>
    </row>
    <row r="353" spans="1:12" x14ac:dyDescent="0.25">
      <c r="A353" t="s">
        <v>715</v>
      </c>
      <c r="B353" t="s">
        <v>716</v>
      </c>
      <c r="C353">
        <v>41</v>
      </c>
      <c r="D353" t="s">
        <v>14</v>
      </c>
      <c r="E353" t="s">
        <v>85</v>
      </c>
      <c r="F353" t="s">
        <v>54</v>
      </c>
      <c r="G353" t="s">
        <v>119</v>
      </c>
      <c r="H353">
        <v>1023903</v>
      </c>
      <c r="I353">
        <v>11</v>
      </c>
      <c r="J353" t="s">
        <v>18</v>
      </c>
      <c r="K353" t="s">
        <v>25</v>
      </c>
      <c r="L353">
        <v>3</v>
      </c>
    </row>
    <row r="354" spans="1:12" x14ac:dyDescent="0.25">
      <c r="A354" t="s">
        <v>717</v>
      </c>
      <c r="B354" t="s">
        <v>597</v>
      </c>
      <c r="C354">
        <v>43</v>
      </c>
      <c r="D354" t="s">
        <v>14</v>
      </c>
      <c r="E354" t="s">
        <v>78</v>
      </c>
      <c r="F354" t="s">
        <v>32</v>
      </c>
      <c r="G354" t="s">
        <v>129</v>
      </c>
      <c r="H354">
        <v>2054208</v>
      </c>
      <c r="I354">
        <v>11</v>
      </c>
      <c r="J354" t="s">
        <v>42</v>
      </c>
      <c r="K354" t="s">
        <v>25</v>
      </c>
      <c r="L354">
        <v>4</v>
      </c>
    </row>
    <row r="355" spans="1:12" x14ac:dyDescent="0.25">
      <c r="A355" t="s">
        <v>718</v>
      </c>
      <c r="B355" t="s">
        <v>468</v>
      </c>
      <c r="C355">
        <v>35</v>
      </c>
      <c r="D355" t="s">
        <v>14</v>
      </c>
      <c r="E355" t="s">
        <v>50</v>
      </c>
      <c r="F355" t="s">
        <v>54</v>
      </c>
      <c r="G355" t="s">
        <v>70</v>
      </c>
      <c r="H355">
        <v>943610</v>
      </c>
      <c r="I355">
        <v>9</v>
      </c>
      <c r="J355" t="s">
        <v>36</v>
      </c>
      <c r="K355" t="s">
        <v>19</v>
      </c>
      <c r="L355">
        <v>3</v>
      </c>
    </row>
    <row r="356" spans="1:12" x14ac:dyDescent="0.25">
      <c r="A356" t="s">
        <v>719</v>
      </c>
      <c r="B356" t="s">
        <v>720</v>
      </c>
      <c r="C356">
        <v>33</v>
      </c>
      <c r="D356" t="s">
        <v>14</v>
      </c>
      <c r="E356" t="s">
        <v>23</v>
      </c>
      <c r="F356" t="s">
        <v>32</v>
      </c>
      <c r="G356" t="s">
        <v>79</v>
      </c>
      <c r="H356">
        <v>1545431</v>
      </c>
      <c r="I356">
        <v>8</v>
      </c>
      <c r="J356" t="s">
        <v>18</v>
      </c>
      <c r="K356" t="s">
        <v>25</v>
      </c>
      <c r="L356">
        <v>3</v>
      </c>
    </row>
    <row r="357" spans="1:12" x14ac:dyDescent="0.25">
      <c r="A357" t="s">
        <v>721</v>
      </c>
      <c r="B357" t="s">
        <v>722</v>
      </c>
      <c r="C357">
        <v>30</v>
      </c>
      <c r="D357" t="s">
        <v>14</v>
      </c>
      <c r="E357" t="s">
        <v>78</v>
      </c>
      <c r="F357" t="s">
        <v>54</v>
      </c>
      <c r="G357" t="s">
        <v>119</v>
      </c>
      <c r="H357">
        <v>612362</v>
      </c>
      <c r="I357">
        <v>0</v>
      </c>
      <c r="J357" t="s">
        <v>18</v>
      </c>
      <c r="K357" t="s">
        <v>25</v>
      </c>
      <c r="L357">
        <v>3</v>
      </c>
    </row>
    <row r="358" spans="1:12" x14ac:dyDescent="0.25">
      <c r="A358" t="s">
        <v>723</v>
      </c>
      <c r="B358" t="s">
        <v>687</v>
      </c>
      <c r="C358">
        <v>28</v>
      </c>
      <c r="D358" t="s">
        <v>22</v>
      </c>
      <c r="E358" t="s">
        <v>23</v>
      </c>
      <c r="F358" t="s">
        <v>66</v>
      </c>
      <c r="G358" t="s">
        <v>204</v>
      </c>
      <c r="H358">
        <v>587865</v>
      </c>
      <c r="I358">
        <v>0</v>
      </c>
      <c r="J358" t="s">
        <v>18</v>
      </c>
      <c r="K358" t="s">
        <v>25</v>
      </c>
      <c r="L358">
        <v>3</v>
      </c>
    </row>
    <row r="359" spans="1:12" x14ac:dyDescent="0.25">
      <c r="A359" t="s">
        <v>724</v>
      </c>
      <c r="B359" t="s">
        <v>725</v>
      </c>
      <c r="C359">
        <v>32</v>
      </c>
      <c r="D359" t="s">
        <v>14</v>
      </c>
      <c r="E359" t="s">
        <v>31</v>
      </c>
      <c r="F359" t="s">
        <v>32</v>
      </c>
      <c r="G359" t="s">
        <v>129</v>
      </c>
      <c r="H359">
        <v>1762426</v>
      </c>
      <c r="I359">
        <v>4</v>
      </c>
      <c r="J359" t="s">
        <v>18</v>
      </c>
      <c r="K359" t="s">
        <v>19</v>
      </c>
      <c r="L359">
        <v>2</v>
      </c>
    </row>
    <row r="360" spans="1:12" x14ac:dyDescent="0.25">
      <c r="A360" t="s">
        <v>726</v>
      </c>
      <c r="B360" t="s">
        <v>57</v>
      </c>
      <c r="C360">
        <v>35</v>
      </c>
      <c r="D360" t="s">
        <v>14</v>
      </c>
      <c r="E360" t="s">
        <v>85</v>
      </c>
      <c r="F360" t="s">
        <v>74</v>
      </c>
      <c r="G360" t="s">
        <v>251</v>
      </c>
      <c r="H360">
        <v>592507</v>
      </c>
      <c r="I360">
        <v>4</v>
      </c>
      <c r="J360" t="s">
        <v>71</v>
      </c>
      <c r="K360" t="s">
        <v>25</v>
      </c>
      <c r="L360">
        <v>3</v>
      </c>
    </row>
    <row r="361" spans="1:12" x14ac:dyDescent="0.25">
      <c r="A361" t="s">
        <v>727</v>
      </c>
      <c r="B361" t="s">
        <v>728</v>
      </c>
      <c r="C361">
        <v>34</v>
      </c>
      <c r="D361" t="s">
        <v>14</v>
      </c>
      <c r="E361" t="s">
        <v>15</v>
      </c>
      <c r="F361" t="s">
        <v>136</v>
      </c>
      <c r="G361" t="s">
        <v>207</v>
      </c>
      <c r="H361">
        <v>1397021</v>
      </c>
      <c r="I361">
        <v>13</v>
      </c>
      <c r="J361" t="s">
        <v>18</v>
      </c>
      <c r="K361" t="s">
        <v>25</v>
      </c>
      <c r="L361">
        <v>4</v>
      </c>
    </row>
    <row r="362" spans="1:12" x14ac:dyDescent="0.25">
      <c r="A362" t="s">
        <v>729</v>
      </c>
      <c r="B362" t="s">
        <v>292</v>
      </c>
      <c r="C362">
        <v>23</v>
      </c>
      <c r="D362" t="s">
        <v>14</v>
      </c>
      <c r="E362" t="s">
        <v>85</v>
      </c>
      <c r="F362" t="s">
        <v>32</v>
      </c>
      <c r="G362" t="s">
        <v>221</v>
      </c>
      <c r="H362">
        <v>1408338</v>
      </c>
      <c r="I362">
        <v>0</v>
      </c>
      <c r="J362" t="s">
        <v>145</v>
      </c>
      <c r="K362" t="s">
        <v>19</v>
      </c>
      <c r="L362">
        <v>3</v>
      </c>
    </row>
    <row r="363" spans="1:12" x14ac:dyDescent="0.25">
      <c r="A363" t="s">
        <v>730</v>
      </c>
      <c r="B363" t="s">
        <v>731</v>
      </c>
      <c r="C363">
        <v>21</v>
      </c>
      <c r="D363" t="s">
        <v>22</v>
      </c>
      <c r="E363" t="s">
        <v>61</v>
      </c>
      <c r="F363" t="s">
        <v>74</v>
      </c>
      <c r="G363" t="s">
        <v>238</v>
      </c>
      <c r="H363">
        <v>573441</v>
      </c>
      <c r="I363">
        <v>0</v>
      </c>
      <c r="J363" t="s">
        <v>36</v>
      </c>
      <c r="K363" t="s">
        <v>25</v>
      </c>
      <c r="L363">
        <v>3</v>
      </c>
    </row>
    <row r="364" spans="1:12" x14ac:dyDescent="0.25">
      <c r="A364" t="s">
        <v>732</v>
      </c>
      <c r="B364" t="s">
        <v>733</v>
      </c>
      <c r="C364">
        <v>25</v>
      </c>
      <c r="D364" t="s">
        <v>14</v>
      </c>
      <c r="E364" t="s">
        <v>39</v>
      </c>
      <c r="F364" t="s">
        <v>54</v>
      </c>
      <c r="G364" t="s">
        <v>119</v>
      </c>
      <c r="H364">
        <v>695089</v>
      </c>
      <c r="I364">
        <v>3</v>
      </c>
      <c r="J364" t="s">
        <v>18</v>
      </c>
      <c r="K364" t="s">
        <v>19</v>
      </c>
      <c r="L364">
        <v>2</v>
      </c>
    </row>
    <row r="365" spans="1:12" x14ac:dyDescent="0.25">
      <c r="A365" t="s">
        <v>734</v>
      </c>
      <c r="B365" t="s">
        <v>735</v>
      </c>
      <c r="C365">
        <v>44</v>
      </c>
      <c r="D365" t="s">
        <v>14</v>
      </c>
      <c r="E365" t="s">
        <v>61</v>
      </c>
      <c r="F365" t="s">
        <v>16</v>
      </c>
      <c r="G365" t="s">
        <v>51</v>
      </c>
      <c r="H365">
        <v>1376734</v>
      </c>
      <c r="I365">
        <v>10</v>
      </c>
      <c r="J365" t="s">
        <v>18</v>
      </c>
      <c r="K365" t="s">
        <v>25</v>
      </c>
      <c r="L365">
        <v>3</v>
      </c>
    </row>
    <row r="366" spans="1:12" x14ac:dyDescent="0.25">
      <c r="A366" t="s">
        <v>736</v>
      </c>
      <c r="B366" t="s">
        <v>393</v>
      </c>
      <c r="C366">
        <v>30</v>
      </c>
      <c r="D366" t="s">
        <v>14</v>
      </c>
      <c r="E366" t="s">
        <v>15</v>
      </c>
      <c r="F366" t="s">
        <v>40</v>
      </c>
      <c r="G366" t="s">
        <v>58</v>
      </c>
      <c r="H366">
        <v>645129</v>
      </c>
      <c r="I366">
        <v>3</v>
      </c>
      <c r="J366" t="s">
        <v>18</v>
      </c>
      <c r="K366" t="s">
        <v>25</v>
      </c>
      <c r="L366">
        <v>3</v>
      </c>
    </row>
    <row r="367" spans="1:12" x14ac:dyDescent="0.25">
      <c r="A367" t="s">
        <v>737</v>
      </c>
      <c r="B367" t="s">
        <v>738</v>
      </c>
      <c r="C367">
        <v>35</v>
      </c>
      <c r="D367" t="s">
        <v>14</v>
      </c>
      <c r="E367" t="s">
        <v>31</v>
      </c>
      <c r="F367" t="s">
        <v>54</v>
      </c>
      <c r="G367" t="s">
        <v>55</v>
      </c>
      <c r="H367">
        <v>1495065</v>
      </c>
      <c r="I367">
        <v>13</v>
      </c>
      <c r="J367" t="s">
        <v>18</v>
      </c>
      <c r="K367" t="s">
        <v>25</v>
      </c>
      <c r="L367">
        <v>3</v>
      </c>
    </row>
    <row r="368" spans="1:12" x14ac:dyDescent="0.25">
      <c r="A368" t="s">
        <v>739</v>
      </c>
      <c r="B368" t="s">
        <v>215</v>
      </c>
      <c r="C368">
        <v>35</v>
      </c>
      <c r="D368" t="s">
        <v>22</v>
      </c>
      <c r="E368" t="s">
        <v>61</v>
      </c>
      <c r="F368" t="s">
        <v>16</v>
      </c>
      <c r="G368" t="s">
        <v>17</v>
      </c>
      <c r="H368">
        <v>1469784</v>
      </c>
      <c r="I368">
        <v>14</v>
      </c>
      <c r="J368" t="s">
        <v>42</v>
      </c>
      <c r="K368" t="s">
        <v>25</v>
      </c>
      <c r="L368">
        <v>2</v>
      </c>
    </row>
    <row r="369" spans="1:12" x14ac:dyDescent="0.25">
      <c r="A369" t="s">
        <v>740</v>
      </c>
      <c r="B369" t="s">
        <v>738</v>
      </c>
      <c r="C369">
        <v>26</v>
      </c>
      <c r="D369" t="s">
        <v>14</v>
      </c>
      <c r="E369" t="s">
        <v>15</v>
      </c>
      <c r="F369" t="s">
        <v>40</v>
      </c>
      <c r="G369" t="s">
        <v>58</v>
      </c>
      <c r="H369">
        <v>773884</v>
      </c>
      <c r="I369">
        <v>5</v>
      </c>
      <c r="J369" t="s">
        <v>42</v>
      </c>
      <c r="K369" t="s">
        <v>19</v>
      </c>
      <c r="L369">
        <v>3</v>
      </c>
    </row>
    <row r="370" spans="1:12" x14ac:dyDescent="0.25">
      <c r="A370" t="s">
        <v>741</v>
      </c>
      <c r="B370" t="s">
        <v>742</v>
      </c>
      <c r="C370">
        <v>31</v>
      </c>
      <c r="D370" t="s">
        <v>22</v>
      </c>
      <c r="E370" t="s">
        <v>39</v>
      </c>
      <c r="F370" t="s">
        <v>32</v>
      </c>
      <c r="G370" t="s">
        <v>33</v>
      </c>
      <c r="H370">
        <v>1006323</v>
      </c>
      <c r="I370">
        <v>3</v>
      </c>
      <c r="J370" t="s">
        <v>42</v>
      </c>
      <c r="K370" t="s">
        <v>25</v>
      </c>
      <c r="L370">
        <v>1</v>
      </c>
    </row>
    <row r="371" spans="1:12" x14ac:dyDescent="0.25">
      <c r="A371" t="s">
        <v>743</v>
      </c>
      <c r="B371" t="s">
        <v>744</v>
      </c>
      <c r="C371">
        <v>37</v>
      </c>
      <c r="D371" t="s">
        <v>14</v>
      </c>
      <c r="E371" t="s">
        <v>31</v>
      </c>
      <c r="F371" t="s">
        <v>74</v>
      </c>
      <c r="G371" t="s">
        <v>95</v>
      </c>
      <c r="H371">
        <v>1117024</v>
      </c>
      <c r="I371">
        <v>9</v>
      </c>
      <c r="J371" t="s">
        <v>18</v>
      </c>
      <c r="K371" t="s">
        <v>25</v>
      </c>
      <c r="L371">
        <v>3</v>
      </c>
    </row>
    <row r="372" spans="1:12" x14ac:dyDescent="0.25">
      <c r="A372" t="s">
        <v>745</v>
      </c>
      <c r="B372" t="s">
        <v>746</v>
      </c>
      <c r="C372">
        <v>34</v>
      </c>
      <c r="D372" t="s">
        <v>14</v>
      </c>
      <c r="E372" t="s">
        <v>50</v>
      </c>
      <c r="F372" t="s">
        <v>74</v>
      </c>
      <c r="G372" t="s">
        <v>238</v>
      </c>
      <c r="H372">
        <v>683387</v>
      </c>
      <c r="I372">
        <v>6</v>
      </c>
      <c r="J372" t="s">
        <v>18</v>
      </c>
      <c r="K372" t="s">
        <v>25</v>
      </c>
      <c r="L372">
        <v>4</v>
      </c>
    </row>
    <row r="373" spans="1:12" x14ac:dyDescent="0.25">
      <c r="A373" t="s">
        <v>747</v>
      </c>
      <c r="B373" t="s">
        <v>200</v>
      </c>
      <c r="C373">
        <v>27</v>
      </c>
      <c r="D373" t="s">
        <v>14</v>
      </c>
      <c r="E373" t="s">
        <v>85</v>
      </c>
      <c r="F373" t="s">
        <v>46</v>
      </c>
      <c r="G373" t="s">
        <v>47</v>
      </c>
      <c r="H373">
        <v>1197779</v>
      </c>
      <c r="I373">
        <v>5</v>
      </c>
      <c r="J373" t="s">
        <v>18</v>
      </c>
      <c r="K373" t="s">
        <v>19</v>
      </c>
      <c r="L373">
        <v>3</v>
      </c>
    </row>
    <row r="374" spans="1:12" x14ac:dyDescent="0.25">
      <c r="A374" t="s">
        <v>748</v>
      </c>
      <c r="B374" t="s">
        <v>153</v>
      </c>
      <c r="C374">
        <v>29</v>
      </c>
      <c r="D374" t="s">
        <v>14</v>
      </c>
      <c r="E374" t="s">
        <v>78</v>
      </c>
      <c r="F374" t="s">
        <v>46</v>
      </c>
      <c r="G374" t="s">
        <v>116</v>
      </c>
      <c r="H374">
        <v>1507991</v>
      </c>
      <c r="I374">
        <v>8</v>
      </c>
      <c r="J374" t="s">
        <v>42</v>
      </c>
      <c r="K374" t="s">
        <v>25</v>
      </c>
      <c r="L374">
        <v>3</v>
      </c>
    </row>
    <row r="375" spans="1:12" x14ac:dyDescent="0.25">
      <c r="A375" t="s">
        <v>749</v>
      </c>
      <c r="B375" t="s">
        <v>441</v>
      </c>
      <c r="C375">
        <v>27</v>
      </c>
      <c r="D375" t="s">
        <v>14</v>
      </c>
      <c r="E375" t="s">
        <v>50</v>
      </c>
      <c r="F375" t="s">
        <v>54</v>
      </c>
      <c r="G375" t="s">
        <v>70</v>
      </c>
      <c r="H375">
        <v>466499</v>
      </c>
      <c r="I375">
        <v>1</v>
      </c>
      <c r="J375" t="s">
        <v>42</v>
      </c>
      <c r="K375" t="s">
        <v>19</v>
      </c>
      <c r="L375">
        <v>3</v>
      </c>
    </row>
    <row r="376" spans="1:12" x14ac:dyDescent="0.25">
      <c r="A376" t="s">
        <v>750</v>
      </c>
      <c r="B376" t="s">
        <v>751</v>
      </c>
      <c r="C376">
        <v>30</v>
      </c>
      <c r="D376" t="s">
        <v>14</v>
      </c>
      <c r="E376" t="s">
        <v>31</v>
      </c>
      <c r="F376" t="s">
        <v>66</v>
      </c>
      <c r="G376" t="s">
        <v>101</v>
      </c>
      <c r="H376">
        <v>1371168</v>
      </c>
      <c r="I376">
        <v>9</v>
      </c>
      <c r="J376" t="s">
        <v>36</v>
      </c>
      <c r="K376" t="s">
        <v>25</v>
      </c>
      <c r="L376">
        <v>2</v>
      </c>
    </row>
    <row r="377" spans="1:12" x14ac:dyDescent="0.25">
      <c r="A377" t="s">
        <v>752</v>
      </c>
      <c r="B377" t="s">
        <v>81</v>
      </c>
      <c r="C377">
        <v>42</v>
      </c>
      <c r="D377" t="s">
        <v>22</v>
      </c>
      <c r="E377" t="s">
        <v>15</v>
      </c>
      <c r="F377" t="s">
        <v>54</v>
      </c>
      <c r="G377" t="s">
        <v>88</v>
      </c>
      <c r="H377">
        <v>1401015</v>
      </c>
      <c r="I377">
        <v>13</v>
      </c>
      <c r="J377" t="s">
        <v>42</v>
      </c>
      <c r="K377" t="s">
        <v>25</v>
      </c>
      <c r="L377">
        <v>2</v>
      </c>
    </row>
    <row r="378" spans="1:12" x14ac:dyDescent="0.25">
      <c r="A378" t="s">
        <v>753</v>
      </c>
      <c r="B378" t="s">
        <v>652</v>
      </c>
      <c r="C378">
        <v>26</v>
      </c>
      <c r="D378" t="s">
        <v>22</v>
      </c>
      <c r="E378" t="s">
        <v>39</v>
      </c>
      <c r="F378" t="s">
        <v>40</v>
      </c>
      <c r="G378" t="s">
        <v>41</v>
      </c>
      <c r="H378">
        <v>662040</v>
      </c>
      <c r="I378">
        <v>4</v>
      </c>
      <c r="J378" t="s">
        <v>71</v>
      </c>
      <c r="K378" t="s">
        <v>25</v>
      </c>
      <c r="L378">
        <v>4</v>
      </c>
    </row>
    <row r="379" spans="1:12" x14ac:dyDescent="0.25">
      <c r="A379" t="s">
        <v>754</v>
      </c>
      <c r="B379" t="s">
        <v>755</v>
      </c>
      <c r="C379">
        <v>33</v>
      </c>
      <c r="D379" t="s">
        <v>22</v>
      </c>
      <c r="E379" t="s">
        <v>78</v>
      </c>
      <c r="F379" t="s">
        <v>32</v>
      </c>
      <c r="G379" t="s">
        <v>33</v>
      </c>
      <c r="H379">
        <v>1299717</v>
      </c>
      <c r="I379">
        <v>7</v>
      </c>
      <c r="J379" t="s">
        <v>18</v>
      </c>
      <c r="K379" t="s">
        <v>25</v>
      </c>
      <c r="L379">
        <v>3</v>
      </c>
    </row>
    <row r="380" spans="1:12" x14ac:dyDescent="0.25">
      <c r="A380" t="s">
        <v>756</v>
      </c>
      <c r="B380" t="s">
        <v>757</v>
      </c>
      <c r="C380">
        <v>27</v>
      </c>
      <c r="D380" t="s">
        <v>14</v>
      </c>
      <c r="E380" t="s">
        <v>15</v>
      </c>
      <c r="F380" t="s">
        <v>40</v>
      </c>
      <c r="G380" t="s">
        <v>58</v>
      </c>
      <c r="H380">
        <v>576558</v>
      </c>
      <c r="I380">
        <v>0</v>
      </c>
      <c r="J380" t="s">
        <v>18</v>
      </c>
      <c r="K380" t="s">
        <v>19</v>
      </c>
      <c r="L380">
        <v>3</v>
      </c>
    </row>
    <row r="381" spans="1:12" x14ac:dyDescent="0.25">
      <c r="A381" t="s">
        <v>758</v>
      </c>
      <c r="B381" t="s">
        <v>755</v>
      </c>
      <c r="C381">
        <v>30</v>
      </c>
      <c r="D381" t="s">
        <v>14</v>
      </c>
      <c r="E381" t="s">
        <v>39</v>
      </c>
      <c r="F381" t="s">
        <v>74</v>
      </c>
      <c r="G381" t="s">
        <v>251</v>
      </c>
      <c r="H381">
        <v>821735</v>
      </c>
      <c r="I381">
        <v>2</v>
      </c>
      <c r="J381" t="s">
        <v>42</v>
      </c>
      <c r="K381" t="s">
        <v>25</v>
      </c>
      <c r="L381">
        <v>4</v>
      </c>
    </row>
    <row r="382" spans="1:12" x14ac:dyDescent="0.25">
      <c r="A382" t="s">
        <v>759</v>
      </c>
      <c r="B382" t="s">
        <v>760</v>
      </c>
      <c r="C382">
        <v>32</v>
      </c>
      <c r="D382" t="s">
        <v>22</v>
      </c>
      <c r="E382" t="s">
        <v>45</v>
      </c>
      <c r="F382" t="s">
        <v>32</v>
      </c>
      <c r="G382" t="s">
        <v>221</v>
      </c>
      <c r="H382">
        <v>1263933</v>
      </c>
      <c r="I382">
        <v>5</v>
      </c>
      <c r="J382" t="s">
        <v>18</v>
      </c>
      <c r="K382" t="s">
        <v>25</v>
      </c>
      <c r="L382">
        <v>3</v>
      </c>
    </row>
    <row r="383" spans="1:12" x14ac:dyDescent="0.25">
      <c r="A383" t="s">
        <v>761</v>
      </c>
      <c r="B383" t="s">
        <v>762</v>
      </c>
      <c r="C383">
        <v>27</v>
      </c>
      <c r="D383" t="s">
        <v>22</v>
      </c>
      <c r="E383" t="s">
        <v>31</v>
      </c>
      <c r="F383" t="s">
        <v>74</v>
      </c>
      <c r="G383" t="s">
        <v>251</v>
      </c>
      <c r="H383">
        <v>739072</v>
      </c>
      <c r="I383">
        <v>5</v>
      </c>
      <c r="J383" t="s">
        <v>36</v>
      </c>
      <c r="K383" t="s">
        <v>19</v>
      </c>
      <c r="L383">
        <v>4</v>
      </c>
    </row>
    <row r="384" spans="1:12" x14ac:dyDescent="0.25">
      <c r="A384" t="s">
        <v>763</v>
      </c>
      <c r="B384" t="s">
        <v>240</v>
      </c>
      <c r="C384">
        <v>25</v>
      </c>
      <c r="D384" t="s">
        <v>14</v>
      </c>
      <c r="E384" t="s">
        <v>31</v>
      </c>
      <c r="F384" t="s">
        <v>136</v>
      </c>
      <c r="G384" t="s">
        <v>137</v>
      </c>
      <c r="H384">
        <v>1058062</v>
      </c>
      <c r="I384">
        <v>4</v>
      </c>
      <c r="J384" t="s">
        <v>18</v>
      </c>
      <c r="K384" t="s">
        <v>19</v>
      </c>
      <c r="L384">
        <v>3</v>
      </c>
    </row>
    <row r="385" spans="1:12" x14ac:dyDescent="0.25">
      <c r="A385" t="s">
        <v>764</v>
      </c>
      <c r="B385" t="s">
        <v>765</v>
      </c>
      <c r="C385">
        <v>35</v>
      </c>
      <c r="D385" t="s">
        <v>22</v>
      </c>
      <c r="E385" t="s">
        <v>78</v>
      </c>
      <c r="F385" t="s">
        <v>74</v>
      </c>
      <c r="G385" t="s">
        <v>238</v>
      </c>
      <c r="H385">
        <v>807815</v>
      </c>
      <c r="I385">
        <v>9</v>
      </c>
      <c r="J385" t="s">
        <v>18</v>
      </c>
      <c r="K385" t="s">
        <v>25</v>
      </c>
      <c r="L385">
        <v>4</v>
      </c>
    </row>
    <row r="386" spans="1:12" x14ac:dyDescent="0.25">
      <c r="A386" t="s">
        <v>766</v>
      </c>
      <c r="B386" t="s">
        <v>767</v>
      </c>
      <c r="C386">
        <v>28</v>
      </c>
      <c r="D386" t="s">
        <v>22</v>
      </c>
      <c r="E386" t="s">
        <v>85</v>
      </c>
      <c r="F386" t="s">
        <v>32</v>
      </c>
      <c r="G386" t="s">
        <v>33</v>
      </c>
      <c r="H386">
        <v>1229525</v>
      </c>
      <c r="I386">
        <v>5</v>
      </c>
      <c r="J386" t="s">
        <v>18</v>
      </c>
      <c r="K386" t="s">
        <v>25</v>
      </c>
      <c r="L386">
        <v>4</v>
      </c>
    </row>
    <row r="387" spans="1:12" x14ac:dyDescent="0.25">
      <c r="A387" t="s">
        <v>768</v>
      </c>
      <c r="B387" t="s">
        <v>769</v>
      </c>
      <c r="C387">
        <v>26</v>
      </c>
      <c r="D387" t="s">
        <v>22</v>
      </c>
      <c r="E387" t="s">
        <v>50</v>
      </c>
      <c r="F387" t="s">
        <v>66</v>
      </c>
      <c r="G387" t="s">
        <v>204</v>
      </c>
      <c r="H387">
        <v>628032</v>
      </c>
      <c r="I387">
        <v>0</v>
      </c>
      <c r="J387" t="s">
        <v>18</v>
      </c>
      <c r="K387" t="s">
        <v>25</v>
      </c>
      <c r="L387">
        <v>4</v>
      </c>
    </row>
    <row r="388" spans="1:12" x14ac:dyDescent="0.25">
      <c r="A388" t="s">
        <v>770</v>
      </c>
      <c r="B388" t="s">
        <v>144</v>
      </c>
      <c r="C388">
        <v>23</v>
      </c>
      <c r="D388" t="s">
        <v>14</v>
      </c>
      <c r="E388" t="s">
        <v>23</v>
      </c>
      <c r="F388" t="s">
        <v>66</v>
      </c>
      <c r="G388" t="s">
        <v>204</v>
      </c>
      <c r="H388">
        <v>960141</v>
      </c>
      <c r="I388">
        <v>2</v>
      </c>
      <c r="J388" t="s">
        <v>36</v>
      </c>
      <c r="K388" t="s">
        <v>25</v>
      </c>
      <c r="L388">
        <v>1</v>
      </c>
    </row>
    <row r="389" spans="1:12" x14ac:dyDescent="0.25">
      <c r="A389" t="s">
        <v>771</v>
      </c>
      <c r="B389" t="s">
        <v>772</v>
      </c>
      <c r="C389">
        <v>36</v>
      </c>
      <c r="D389" t="s">
        <v>22</v>
      </c>
      <c r="E389" t="s">
        <v>31</v>
      </c>
      <c r="F389" t="s">
        <v>74</v>
      </c>
      <c r="G389" t="s">
        <v>75</v>
      </c>
      <c r="H389">
        <v>1317133</v>
      </c>
      <c r="I389">
        <v>14</v>
      </c>
      <c r="J389" t="s">
        <v>42</v>
      </c>
      <c r="K389" t="s">
        <v>25</v>
      </c>
      <c r="L389">
        <v>3</v>
      </c>
    </row>
    <row r="390" spans="1:12" x14ac:dyDescent="0.25">
      <c r="A390" t="s">
        <v>773</v>
      </c>
      <c r="B390" t="s">
        <v>284</v>
      </c>
      <c r="C390">
        <v>44</v>
      </c>
      <c r="D390" t="s">
        <v>22</v>
      </c>
      <c r="E390" t="s">
        <v>85</v>
      </c>
      <c r="F390" t="s">
        <v>136</v>
      </c>
      <c r="G390" t="s">
        <v>142</v>
      </c>
      <c r="H390">
        <v>1128327</v>
      </c>
      <c r="I390">
        <v>11</v>
      </c>
      <c r="J390" t="s">
        <v>18</v>
      </c>
      <c r="K390" t="s">
        <v>25</v>
      </c>
      <c r="L390">
        <v>4</v>
      </c>
    </row>
    <row r="391" spans="1:12" x14ac:dyDescent="0.25">
      <c r="A391" t="s">
        <v>774</v>
      </c>
      <c r="B391" t="s">
        <v>775</v>
      </c>
      <c r="C391">
        <v>33</v>
      </c>
      <c r="D391" t="s">
        <v>14</v>
      </c>
      <c r="E391" t="s">
        <v>85</v>
      </c>
      <c r="F391" t="s">
        <v>32</v>
      </c>
      <c r="G391" t="s">
        <v>129</v>
      </c>
      <c r="H391">
        <v>1892170</v>
      </c>
      <c r="I391">
        <v>8</v>
      </c>
      <c r="J391" t="s">
        <v>18</v>
      </c>
      <c r="K391" t="s">
        <v>25</v>
      </c>
      <c r="L391">
        <v>3</v>
      </c>
    </row>
    <row r="392" spans="1:12" x14ac:dyDescent="0.25">
      <c r="A392" t="s">
        <v>776</v>
      </c>
      <c r="B392" t="s">
        <v>777</v>
      </c>
      <c r="C392">
        <v>35</v>
      </c>
      <c r="D392" t="s">
        <v>22</v>
      </c>
      <c r="E392" t="s">
        <v>61</v>
      </c>
      <c r="F392" t="s">
        <v>16</v>
      </c>
      <c r="G392" t="s">
        <v>24</v>
      </c>
      <c r="H392">
        <v>1135165</v>
      </c>
      <c r="I392">
        <v>7</v>
      </c>
      <c r="J392" t="s">
        <v>42</v>
      </c>
      <c r="K392" t="s">
        <v>25</v>
      </c>
      <c r="L392">
        <v>3</v>
      </c>
    </row>
    <row r="393" spans="1:12" x14ac:dyDescent="0.25">
      <c r="A393" t="s">
        <v>778</v>
      </c>
      <c r="B393" t="s">
        <v>779</v>
      </c>
      <c r="C393">
        <v>39</v>
      </c>
      <c r="D393" t="s">
        <v>14</v>
      </c>
      <c r="E393" t="s">
        <v>50</v>
      </c>
      <c r="F393" t="s">
        <v>16</v>
      </c>
      <c r="G393" t="s">
        <v>17</v>
      </c>
      <c r="H393">
        <v>1636651</v>
      </c>
      <c r="I393">
        <v>13</v>
      </c>
      <c r="J393" t="s">
        <v>36</v>
      </c>
      <c r="K393" t="s">
        <v>25</v>
      </c>
      <c r="L393">
        <v>3</v>
      </c>
    </row>
    <row r="394" spans="1:12" x14ac:dyDescent="0.25">
      <c r="A394" t="s">
        <v>780</v>
      </c>
      <c r="B394" t="s">
        <v>781</v>
      </c>
      <c r="C394">
        <v>35</v>
      </c>
      <c r="D394" t="s">
        <v>22</v>
      </c>
      <c r="E394" t="s">
        <v>61</v>
      </c>
      <c r="F394" t="s">
        <v>54</v>
      </c>
      <c r="G394" t="s">
        <v>119</v>
      </c>
      <c r="H394">
        <v>906776</v>
      </c>
      <c r="I394">
        <v>11</v>
      </c>
      <c r="J394" t="s">
        <v>71</v>
      </c>
      <c r="K394" t="s">
        <v>25</v>
      </c>
      <c r="L394">
        <v>3</v>
      </c>
    </row>
    <row r="395" spans="1:12" x14ac:dyDescent="0.25">
      <c r="A395" t="s">
        <v>782</v>
      </c>
      <c r="B395" t="s">
        <v>783</v>
      </c>
      <c r="C395">
        <v>53</v>
      </c>
      <c r="D395" t="s">
        <v>14</v>
      </c>
      <c r="E395" t="s">
        <v>61</v>
      </c>
      <c r="F395" t="s">
        <v>32</v>
      </c>
      <c r="G395" t="s">
        <v>221</v>
      </c>
      <c r="H395">
        <v>1974097</v>
      </c>
      <c r="I395">
        <v>18</v>
      </c>
      <c r="J395" t="s">
        <v>42</v>
      </c>
      <c r="K395" t="s">
        <v>19</v>
      </c>
      <c r="L395">
        <v>3</v>
      </c>
    </row>
    <row r="396" spans="1:12" x14ac:dyDescent="0.25">
      <c r="A396" t="s">
        <v>784</v>
      </c>
      <c r="B396" t="s">
        <v>785</v>
      </c>
      <c r="C396">
        <v>26</v>
      </c>
      <c r="D396" t="s">
        <v>14</v>
      </c>
      <c r="E396" t="s">
        <v>39</v>
      </c>
      <c r="F396" t="s">
        <v>32</v>
      </c>
      <c r="G396" t="s">
        <v>221</v>
      </c>
      <c r="H396">
        <v>1332374</v>
      </c>
      <c r="I396">
        <v>2</v>
      </c>
      <c r="J396" t="s">
        <v>36</v>
      </c>
      <c r="K396" t="s">
        <v>25</v>
      </c>
      <c r="L396">
        <v>3</v>
      </c>
    </row>
    <row r="397" spans="1:12" x14ac:dyDescent="0.25">
      <c r="A397" t="s">
        <v>786</v>
      </c>
      <c r="B397" t="s">
        <v>787</v>
      </c>
      <c r="C397">
        <v>37</v>
      </c>
      <c r="D397" t="s">
        <v>22</v>
      </c>
      <c r="E397" t="s">
        <v>45</v>
      </c>
      <c r="F397" t="s">
        <v>40</v>
      </c>
      <c r="G397" t="s">
        <v>41</v>
      </c>
      <c r="H397">
        <v>1077611</v>
      </c>
      <c r="I397">
        <v>10</v>
      </c>
      <c r="J397" t="s">
        <v>145</v>
      </c>
      <c r="K397" t="s">
        <v>19</v>
      </c>
      <c r="L397">
        <v>5</v>
      </c>
    </row>
    <row r="398" spans="1:12" x14ac:dyDescent="0.25">
      <c r="A398" t="s">
        <v>788</v>
      </c>
      <c r="B398" t="s">
        <v>579</v>
      </c>
      <c r="C398">
        <v>34</v>
      </c>
      <c r="D398" t="s">
        <v>22</v>
      </c>
      <c r="E398" t="s">
        <v>50</v>
      </c>
      <c r="F398" t="s">
        <v>32</v>
      </c>
      <c r="G398" t="s">
        <v>129</v>
      </c>
      <c r="H398">
        <v>1851082</v>
      </c>
      <c r="I398">
        <v>7</v>
      </c>
      <c r="J398" t="s">
        <v>36</v>
      </c>
      <c r="K398" t="s">
        <v>25</v>
      </c>
      <c r="L398">
        <v>2</v>
      </c>
    </row>
    <row r="399" spans="1:12" x14ac:dyDescent="0.25">
      <c r="A399" t="s">
        <v>789</v>
      </c>
      <c r="B399" t="s">
        <v>280</v>
      </c>
      <c r="C399">
        <v>28</v>
      </c>
      <c r="D399" t="s">
        <v>22</v>
      </c>
      <c r="E399" t="s">
        <v>61</v>
      </c>
      <c r="F399" t="s">
        <v>66</v>
      </c>
      <c r="G399" t="s">
        <v>204</v>
      </c>
      <c r="H399">
        <v>717807</v>
      </c>
      <c r="I399">
        <v>3</v>
      </c>
      <c r="J399" t="s">
        <v>18</v>
      </c>
      <c r="K399" t="s">
        <v>25</v>
      </c>
      <c r="L399">
        <v>3</v>
      </c>
    </row>
    <row r="400" spans="1:12" x14ac:dyDescent="0.25">
      <c r="A400" t="s">
        <v>790</v>
      </c>
      <c r="B400" t="s">
        <v>381</v>
      </c>
      <c r="C400">
        <v>21</v>
      </c>
      <c r="D400" t="s">
        <v>14</v>
      </c>
      <c r="E400" t="s">
        <v>31</v>
      </c>
      <c r="F400" t="s">
        <v>54</v>
      </c>
      <c r="G400" t="s">
        <v>55</v>
      </c>
      <c r="H400">
        <v>783655</v>
      </c>
      <c r="I400">
        <v>0</v>
      </c>
      <c r="J400" t="s">
        <v>18</v>
      </c>
      <c r="K400" t="s">
        <v>19</v>
      </c>
      <c r="L400">
        <v>2</v>
      </c>
    </row>
    <row r="401" spans="1:12" x14ac:dyDescent="0.25">
      <c r="A401" t="s">
        <v>791</v>
      </c>
      <c r="B401" t="s">
        <v>792</v>
      </c>
      <c r="C401">
        <v>26</v>
      </c>
      <c r="D401" t="s">
        <v>14</v>
      </c>
      <c r="E401" t="s">
        <v>85</v>
      </c>
      <c r="F401" t="s">
        <v>40</v>
      </c>
      <c r="G401" t="s">
        <v>58</v>
      </c>
      <c r="H401">
        <v>761328</v>
      </c>
      <c r="I401">
        <v>1</v>
      </c>
      <c r="J401" t="s">
        <v>145</v>
      </c>
      <c r="K401" t="s">
        <v>19</v>
      </c>
      <c r="L401">
        <v>2</v>
      </c>
    </row>
    <row r="402" spans="1:12" x14ac:dyDescent="0.25">
      <c r="A402" t="s">
        <v>793</v>
      </c>
      <c r="B402" t="s">
        <v>751</v>
      </c>
      <c r="C402">
        <v>21</v>
      </c>
      <c r="D402" t="s">
        <v>22</v>
      </c>
      <c r="E402" t="s">
        <v>85</v>
      </c>
      <c r="F402" t="s">
        <v>32</v>
      </c>
      <c r="G402" t="s">
        <v>107</v>
      </c>
      <c r="H402">
        <v>1233777</v>
      </c>
      <c r="I402">
        <v>0</v>
      </c>
      <c r="J402" t="s">
        <v>36</v>
      </c>
      <c r="K402" t="s">
        <v>19</v>
      </c>
      <c r="L402">
        <v>3</v>
      </c>
    </row>
    <row r="403" spans="1:12" x14ac:dyDescent="0.25">
      <c r="A403" t="s">
        <v>794</v>
      </c>
      <c r="B403" t="s">
        <v>73</v>
      </c>
      <c r="C403">
        <v>24</v>
      </c>
      <c r="D403" t="s">
        <v>22</v>
      </c>
      <c r="E403" t="s">
        <v>61</v>
      </c>
      <c r="F403" t="s">
        <v>16</v>
      </c>
      <c r="G403" t="s">
        <v>126</v>
      </c>
      <c r="H403">
        <v>755137</v>
      </c>
      <c r="I403">
        <v>1</v>
      </c>
      <c r="J403" t="s">
        <v>42</v>
      </c>
      <c r="K403" t="s">
        <v>25</v>
      </c>
      <c r="L403">
        <v>3</v>
      </c>
    </row>
    <row r="404" spans="1:12" x14ac:dyDescent="0.25">
      <c r="A404" t="s">
        <v>795</v>
      </c>
      <c r="B404" t="s">
        <v>796</v>
      </c>
      <c r="C404">
        <v>23</v>
      </c>
      <c r="D404" t="s">
        <v>14</v>
      </c>
      <c r="E404" t="s">
        <v>28</v>
      </c>
      <c r="F404" t="s">
        <v>54</v>
      </c>
      <c r="G404" t="s">
        <v>55</v>
      </c>
      <c r="H404">
        <v>1046652</v>
      </c>
      <c r="I404">
        <v>0</v>
      </c>
      <c r="J404" t="s">
        <v>42</v>
      </c>
      <c r="K404" t="s">
        <v>25</v>
      </c>
      <c r="L404">
        <v>4</v>
      </c>
    </row>
    <row r="405" spans="1:12" x14ac:dyDescent="0.25">
      <c r="A405" t="s">
        <v>797</v>
      </c>
      <c r="B405" t="s">
        <v>798</v>
      </c>
      <c r="C405">
        <v>36</v>
      </c>
      <c r="D405" t="s">
        <v>14</v>
      </c>
      <c r="E405" t="s">
        <v>45</v>
      </c>
      <c r="F405" t="s">
        <v>40</v>
      </c>
      <c r="G405" t="s">
        <v>41</v>
      </c>
      <c r="H405">
        <v>891064</v>
      </c>
      <c r="I405">
        <v>7</v>
      </c>
      <c r="J405" t="s">
        <v>18</v>
      </c>
      <c r="K405" t="s">
        <v>25</v>
      </c>
      <c r="L405">
        <v>4</v>
      </c>
    </row>
    <row r="406" spans="1:12" x14ac:dyDescent="0.25">
      <c r="A406" t="s">
        <v>799</v>
      </c>
      <c r="B406" t="s">
        <v>798</v>
      </c>
      <c r="C406">
        <v>29</v>
      </c>
      <c r="D406" t="s">
        <v>14</v>
      </c>
      <c r="E406" t="s">
        <v>28</v>
      </c>
      <c r="F406" t="s">
        <v>74</v>
      </c>
      <c r="G406" t="s">
        <v>238</v>
      </c>
      <c r="H406">
        <v>697645</v>
      </c>
      <c r="I406">
        <v>7</v>
      </c>
      <c r="J406" t="s">
        <v>18</v>
      </c>
      <c r="K406" t="s">
        <v>19</v>
      </c>
      <c r="L406">
        <v>4</v>
      </c>
    </row>
    <row r="407" spans="1:12" x14ac:dyDescent="0.25">
      <c r="A407" t="s">
        <v>800</v>
      </c>
      <c r="B407" t="s">
        <v>381</v>
      </c>
      <c r="C407">
        <v>21</v>
      </c>
      <c r="D407" t="s">
        <v>14</v>
      </c>
      <c r="E407" t="s">
        <v>78</v>
      </c>
      <c r="F407" t="s">
        <v>32</v>
      </c>
      <c r="G407" t="s">
        <v>107</v>
      </c>
      <c r="H407">
        <v>1328836</v>
      </c>
      <c r="I407">
        <v>0</v>
      </c>
      <c r="J407" t="s">
        <v>42</v>
      </c>
      <c r="K407" t="s">
        <v>25</v>
      </c>
      <c r="L407">
        <v>3</v>
      </c>
    </row>
    <row r="408" spans="1:12" x14ac:dyDescent="0.25">
      <c r="A408" t="s">
        <v>801</v>
      </c>
      <c r="B408" t="s">
        <v>802</v>
      </c>
      <c r="C408">
        <v>25</v>
      </c>
      <c r="D408" t="s">
        <v>14</v>
      </c>
      <c r="E408" t="s">
        <v>15</v>
      </c>
      <c r="F408" t="s">
        <v>32</v>
      </c>
      <c r="G408" t="s">
        <v>221</v>
      </c>
      <c r="H408">
        <v>1165721</v>
      </c>
      <c r="I408">
        <v>3</v>
      </c>
      <c r="J408" t="s">
        <v>18</v>
      </c>
      <c r="K408" t="s">
        <v>25</v>
      </c>
      <c r="L408">
        <v>2</v>
      </c>
    </row>
    <row r="409" spans="1:12" x14ac:dyDescent="0.25">
      <c r="A409" t="s">
        <v>803</v>
      </c>
      <c r="B409" t="s">
        <v>804</v>
      </c>
      <c r="C409">
        <v>26</v>
      </c>
      <c r="D409" t="s">
        <v>14</v>
      </c>
      <c r="E409" t="s">
        <v>61</v>
      </c>
      <c r="F409" t="s">
        <v>136</v>
      </c>
      <c r="G409" t="s">
        <v>137</v>
      </c>
      <c r="H409">
        <v>1027848</v>
      </c>
      <c r="I409">
        <v>0</v>
      </c>
      <c r="J409" t="s">
        <v>36</v>
      </c>
      <c r="K409" t="s">
        <v>19</v>
      </c>
      <c r="L409">
        <v>3</v>
      </c>
    </row>
    <row r="410" spans="1:12" x14ac:dyDescent="0.25">
      <c r="A410" t="s">
        <v>805</v>
      </c>
      <c r="B410" t="s">
        <v>806</v>
      </c>
      <c r="C410">
        <v>34</v>
      </c>
      <c r="D410" t="s">
        <v>14</v>
      </c>
      <c r="E410" t="s">
        <v>28</v>
      </c>
      <c r="F410" t="s">
        <v>16</v>
      </c>
      <c r="G410" t="s">
        <v>126</v>
      </c>
      <c r="H410">
        <v>1198584</v>
      </c>
      <c r="I410">
        <v>8</v>
      </c>
      <c r="J410" t="s">
        <v>36</v>
      </c>
      <c r="K410" t="s">
        <v>25</v>
      </c>
      <c r="L410">
        <v>4</v>
      </c>
    </row>
    <row r="411" spans="1:12" x14ac:dyDescent="0.25">
      <c r="A411" t="s">
        <v>807</v>
      </c>
      <c r="B411" t="s">
        <v>808</v>
      </c>
      <c r="C411">
        <v>27</v>
      </c>
      <c r="D411" t="s">
        <v>14</v>
      </c>
      <c r="E411" t="s">
        <v>31</v>
      </c>
      <c r="F411" t="s">
        <v>54</v>
      </c>
      <c r="G411" t="s">
        <v>55</v>
      </c>
      <c r="H411">
        <v>1165608</v>
      </c>
      <c r="I411">
        <v>4</v>
      </c>
      <c r="J411" t="s">
        <v>18</v>
      </c>
      <c r="K411" t="s">
        <v>25</v>
      </c>
      <c r="L411">
        <v>3</v>
      </c>
    </row>
    <row r="412" spans="1:12" x14ac:dyDescent="0.25">
      <c r="A412" t="s">
        <v>809</v>
      </c>
      <c r="B412" t="s">
        <v>810</v>
      </c>
      <c r="C412">
        <v>37</v>
      </c>
      <c r="D412" t="s">
        <v>14</v>
      </c>
      <c r="E412" t="s">
        <v>50</v>
      </c>
      <c r="F412" t="s">
        <v>66</v>
      </c>
      <c r="G412" t="s">
        <v>101</v>
      </c>
      <c r="H412">
        <v>1142942</v>
      </c>
      <c r="I412">
        <v>8</v>
      </c>
      <c r="J412" t="s">
        <v>18</v>
      </c>
      <c r="K412" t="s">
        <v>25</v>
      </c>
      <c r="L412">
        <v>4</v>
      </c>
    </row>
    <row r="413" spans="1:12" x14ac:dyDescent="0.25">
      <c r="A413" t="s">
        <v>811</v>
      </c>
      <c r="B413" t="s">
        <v>812</v>
      </c>
      <c r="C413">
        <v>26</v>
      </c>
      <c r="D413" t="s">
        <v>14</v>
      </c>
      <c r="E413" t="s">
        <v>50</v>
      </c>
      <c r="F413" t="s">
        <v>32</v>
      </c>
      <c r="G413" t="s">
        <v>107</v>
      </c>
      <c r="H413">
        <v>1153691</v>
      </c>
      <c r="I413">
        <v>0</v>
      </c>
      <c r="J413" t="s">
        <v>18</v>
      </c>
      <c r="K413" t="s">
        <v>25</v>
      </c>
      <c r="L413">
        <v>3</v>
      </c>
    </row>
    <row r="414" spans="1:12" x14ac:dyDescent="0.25">
      <c r="A414" t="s">
        <v>813</v>
      </c>
      <c r="B414" t="s">
        <v>814</v>
      </c>
      <c r="C414">
        <v>40</v>
      </c>
      <c r="D414" t="s">
        <v>22</v>
      </c>
      <c r="E414" t="s">
        <v>23</v>
      </c>
      <c r="F414" t="s">
        <v>16</v>
      </c>
      <c r="G414" t="s">
        <v>126</v>
      </c>
      <c r="H414">
        <v>1151057</v>
      </c>
      <c r="I414">
        <v>9</v>
      </c>
      <c r="J414" t="s">
        <v>18</v>
      </c>
      <c r="K414" t="s">
        <v>25</v>
      </c>
      <c r="L414">
        <v>3</v>
      </c>
    </row>
    <row r="415" spans="1:12" x14ac:dyDescent="0.25">
      <c r="A415" t="s">
        <v>815</v>
      </c>
      <c r="B415" t="s">
        <v>500</v>
      </c>
      <c r="C415">
        <v>24</v>
      </c>
      <c r="D415" t="s">
        <v>22</v>
      </c>
      <c r="E415" t="s">
        <v>31</v>
      </c>
      <c r="F415" t="s">
        <v>66</v>
      </c>
      <c r="G415" t="s">
        <v>101</v>
      </c>
      <c r="H415">
        <v>1330361</v>
      </c>
      <c r="I415">
        <v>3</v>
      </c>
      <c r="J415" t="s">
        <v>18</v>
      </c>
      <c r="K415" t="s">
        <v>25</v>
      </c>
      <c r="L415">
        <v>3</v>
      </c>
    </row>
    <row r="416" spans="1:12" x14ac:dyDescent="0.25">
      <c r="A416" t="s">
        <v>816</v>
      </c>
      <c r="B416" t="s">
        <v>817</v>
      </c>
      <c r="C416">
        <v>21</v>
      </c>
      <c r="D416" t="s">
        <v>22</v>
      </c>
      <c r="E416" t="s">
        <v>45</v>
      </c>
      <c r="F416" t="s">
        <v>66</v>
      </c>
      <c r="G416" t="s">
        <v>204</v>
      </c>
      <c r="H416">
        <v>772426</v>
      </c>
      <c r="I416">
        <v>0</v>
      </c>
      <c r="J416" t="s">
        <v>36</v>
      </c>
      <c r="K416" t="s">
        <v>19</v>
      </c>
      <c r="L416">
        <v>3</v>
      </c>
    </row>
    <row r="417" spans="1:12" x14ac:dyDescent="0.25">
      <c r="A417" t="s">
        <v>818</v>
      </c>
      <c r="B417" t="s">
        <v>365</v>
      </c>
      <c r="C417">
        <v>25</v>
      </c>
      <c r="D417" t="s">
        <v>14</v>
      </c>
      <c r="E417" t="s">
        <v>39</v>
      </c>
      <c r="F417" t="s">
        <v>54</v>
      </c>
      <c r="G417" t="s">
        <v>70</v>
      </c>
      <c r="H417">
        <v>663143</v>
      </c>
      <c r="I417">
        <v>0</v>
      </c>
      <c r="J417" t="s">
        <v>18</v>
      </c>
      <c r="K417" t="s">
        <v>19</v>
      </c>
      <c r="L417">
        <v>4</v>
      </c>
    </row>
    <row r="418" spans="1:12" x14ac:dyDescent="0.25">
      <c r="A418" t="s">
        <v>819</v>
      </c>
      <c r="B418" t="s">
        <v>820</v>
      </c>
      <c r="C418">
        <v>37</v>
      </c>
      <c r="D418" t="s">
        <v>22</v>
      </c>
      <c r="E418" t="s">
        <v>23</v>
      </c>
      <c r="F418" t="s">
        <v>136</v>
      </c>
      <c r="G418" t="s">
        <v>137</v>
      </c>
      <c r="H418">
        <v>1451046</v>
      </c>
      <c r="I418">
        <v>9</v>
      </c>
      <c r="J418" t="s">
        <v>18</v>
      </c>
      <c r="K418" t="s">
        <v>25</v>
      </c>
      <c r="L418">
        <v>3</v>
      </c>
    </row>
    <row r="419" spans="1:12" x14ac:dyDescent="0.25">
      <c r="A419" t="s">
        <v>821</v>
      </c>
      <c r="B419" t="s">
        <v>161</v>
      </c>
      <c r="C419">
        <v>32</v>
      </c>
      <c r="D419" t="s">
        <v>14</v>
      </c>
      <c r="E419" t="s">
        <v>31</v>
      </c>
      <c r="F419" t="s">
        <v>46</v>
      </c>
      <c r="G419" t="s">
        <v>47</v>
      </c>
      <c r="H419">
        <v>1467701</v>
      </c>
      <c r="I419">
        <v>6</v>
      </c>
      <c r="J419" t="s">
        <v>18</v>
      </c>
      <c r="K419" t="s">
        <v>25</v>
      </c>
      <c r="L419">
        <v>3</v>
      </c>
    </row>
    <row r="420" spans="1:12" x14ac:dyDescent="0.25">
      <c r="A420" t="s">
        <v>822</v>
      </c>
      <c r="B420" t="s">
        <v>310</v>
      </c>
      <c r="C420">
        <v>34</v>
      </c>
      <c r="D420" t="s">
        <v>14</v>
      </c>
      <c r="E420" t="s">
        <v>28</v>
      </c>
      <c r="F420" t="s">
        <v>40</v>
      </c>
      <c r="G420" t="s">
        <v>58</v>
      </c>
      <c r="H420">
        <v>949213</v>
      </c>
      <c r="I420">
        <v>8</v>
      </c>
      <c r="J420" t="s">
        <v>18</v>
      </c>
      <c r="K420" t="s">
        <v>25</v>
      </c>
      <c r="L420">
        <v>3</v>
      </c>
    </row>
    <row r="421" spans="1:12" x14ac:dyDescent="0.25">
      <c r="A421" t="s">
        <v>823</v>
      </c>
      <c r="B421" t="s">
        <v>824</v>
      </c>
      <c r="C421">
        <v>39</v>
      </c>
      <c r="D421" t="s">
        <v>14</v>
      </c>
      <c r="E421" t="s">
        <v>28</v>
      </c>
      <c r="F421" t="s">
        <v>136</v>
      </c>
      <c r="G421" t="s">
        <v>137</v>
      </c>
      <c r="H421">
        <v>1247340</v>
      </c>
      <c r="I421">
        <v>8</v>
      </c>
      <c r="J421" t="s">
        <v>18</v>
      </c>
      <c r="K421" t="s">
        <v>25</v>
      </c>
      <c r="L421">
        <v>3</v>
      </c>
    </row>
    <row r="422" spans="1:12" x14ac:dyDescent="0.25">
      <c r="A422" t="s">
        <v>825</v>
      </c>
      <c r="B422" t="s">
        <v>826</v>
      </c>
      <c r="C422">
        <v>28</v>
      </c>
      <c r="D422" t="s">
        <v>22</v>
      </c>
      <c r="E422" t="s">
        <v>50</v>
      </c>
      <c r="F422" t="s">
        <v>46</v>
      </c>
      <c r="G422" t="s">
        <v>47</v>
      </c>
      <c r="H422">
        <v>1076413</v>
      </c>
      <c r="I422">
        <v>0</v>
      </c>
      <c r="J422" t="s">
        <v>18</v>
      </c>
      <c r="K422" t="s">
        <v>25</v>
      </c>
      <c r="L422">
        <v>5</v>
      </c>
    </row>
    <row r="423" spans="1:12" x14ac:dyDescent="0.25">
      <c r="A423" t="s">
        <v>827</v>
      </c>
      <c r="B423" t="s">
        <v>240</v>
      </c>
      <c r="C423">
        <v>34</v>
      </c>
      <c r="D423" t="s">
        <v>14</v>
      </c>
      <c r="E423" t="s">
        <v>28</v>
      </c>
      <c r="F423" t="s">
        <v>32</v>
      </c>
      <c r="G423" t="s">
        <v>33</v>
      </c>
      <c r="H423">
        <v>1123257</v>
      </c>
      <c r="I423">
        <v>6</v>
      </c>
      <c r="J423" t="s">
        <v>36</v>
      </c>
      <c r="K423" t="s">
        <v>25</v>
      </c>
      <c r="L423">
        <v>4</v>
      </c>
    </row>
    <row r="424" spans="1:12" x14ac:dyDescent="0.25">
      <c r="A424" t="s">
        <v>828</v>
      </c>
      <c r="B424" t="s">
        <v>829</v>
      </c>
      <c r="C424">
        <v>35</v>
      </c>
      <c r="D424" t="s">
        <v>22</v>
      </c>
      <c r="E424" t="s">
        <v>85</v>
      </c>
      <c r="F424" t="s">
        <v>66</v>
      </c>
      <c r="G424" t="s">
        <v>67</v>
      </c>
      <c r="H424">
        <v>1112190</v>
      </c>
      <c r="I424">
        <v>9</v>
      </c>
      <c r="J424" t="s">
        <v>18</v>
      </c>
      <c r="K424" t="s">
        <v>25</v>
      </c>
      <c r="L424">
        <v>3</v>
      </c>
    </row>
    <row r="425" spans="1:12" x14ac:dyDescent="0.25">
      <c r="A425" t="s">
        <v>830</v>
      </c>
      <c r="B425" t="s">
        <v>831</v>
      </c>
      <c r="C425">
        <v>24</v>
      </c>
      <c r="D425" t="s">
        <v>22</v>
      </c>
      <c r="E425" t="s">
        <v>85</v>
      </c>
      <c r="F425" t="s">
        <v>40</v>
      </c>
      <c r="G425" t="s">
        <v>41</v>
      </c>
      <c r="H425">
        <v>535433</v>
      </c>
      <c r="I425">
        <v>3</v>
      </c>
      <c r="J425" t="s">
        <v>18</v>
      </c>
      <c r="K425" t="s">
        <v>19</v>
      </c>
      <c r="L425">
        <v>2</v>
      </c>
    </row>
    <row r="426" spans="1:12" x14ac:dyDescent="0.25">
      <c r="A426" t="s">
        <v>832</v>
      </c>
      <c r="B426" t="s">
        <v>833</v>
      </c>
      <c r="C426">
        <v>33</v>
      </c>
      <c r="D426" t="s">
        <v>14</v>
      </c>
      <c r="E426" t="s">
        <v>61</v>
      </c>
      <c r="F426" t="s">
        <v>40</v>
      </c>
      <c r="G426" t="s">
        <v>82</v>
      </c>
      <c r="H426">
        <v>1065230</v>
      </c>
      <c r="I426">
        <v>11</v>
      </c>
      <c r="J426" t="s">
        <v>18</v>
      </c>
      <c r="K426" t="s">
        <v>25</v>
      </c>
      <c r="L426">
        <v>3</v>
      </c>
    </row>
    <row r="427" spans="1:12" x14ac:dyDescent="0.25">
      <c r="A427" t="s">
        <v>834</v>
      </c>
      <c r="B427" t="s">
        <v>296</v>
      </c>
      <c r="C427">
        <v>21</v>
      </c>
      <c r="D427" t="s">
        <v>14</v>
      </c>
      <c r="E427" t="s">
        <v>28</v>
      </c>
      <c r="F427" t="s">
        <v>40</v>
      </c>
      <c r="G427" t="s">
        <v>58</v>
      </c>
      <c r="H427">
        <v>609517</v>
      </c>
      <c r="I427">
        <v>0</v>
      </c>
      <c r="J427" t="s">
        <v>36</v>
      </c>
      <c r="K427" t="s">
        <v>25</v>
      </c>
      <c r="L427">
        <v>3</v>
      </c>
    </row>
    <row r="428" spans="1:12" x14ac:dyDescent="0.25">
      <c r="A428" t="s">
        <v>835</v>
      </c>
      <c r="B428" t="s">
        <v>544</v>
      </c>
      <c r="C428">
        <v>45</v>
      </c>
      <c r="D428" t="s">
        <v>22</v>
      </c>
      <c r="E428" t="s">
        <v>15</v>
      </c>
      <c r="F428" t="s">
        <v>74</v>
      </c>
      <c r="G428" t="s">
        <v>251</v>
      </c>
      <c r="H428">
        <v>1242004</v>
      </c>
      <c r="I428">
        <v>15</v>
      </c>
      <c r="J428" t="s">
        <v>18</v>
      </c>
      <c r="K428" t="s">
        <v>25</v>
      </c>
      <c r="L428">
        <v>2</v>
      </c>
    </row>
    <row r="429" spans="1:12" x14ac:dyDescent="0.25">
      <c r="A429" t="s">
        <v>836</v>
      </c>
      <c r="B429" t="s">
        <v>837</v>
      </c>
      <c r="C429">
        <v>35</v>
      </c>
      <c r="D429" t="s">
        <v>14</v>
      </c>
      <c r="E429" t="s">
        <v>28</v>
      </c>
      <c r="F429" t="s">
        <v>66</v>
      </c>
      <c r="G429" t="s">
        <v>101</v>
      </c>
      <c r="H429">
        <v>1506190</v>
      </c>
      <c r="I429">
        <v>12</v>
      </c>
      <c r="J429" t="s">
        <v>42</v>
      </c>
      <c r="K429" t="s">
        <v>19</v>
      </c>
      <c r="L429">
        <v>3</v>
      </c>
    </row>
    <row r="430" spans="1:12" x14ac:dyDescent="0.25">
      <c r="A430" t="s">
        <v>838</v>
      </c>
      <c r="B430" t="s">
        <v>839</v>
      </c>
      <c r="C430">
        <v>21</v>
      </c>
      <c r="D430" t="s">
        <v>14</v>
      </c>
      <c r="E430" t="s">
        <v>28</v>
      </c>
      <c r="F430" t="s">
        <v>46</v>
      </c>
      <c r="G430" t="s">
        <v>113</v>
      </c>
      <c r="H430">
        <v>1044062</v>
      </c>
      <c r="I430">
        <v>0</v>
      </c>
      <c r="J430" t="s">
        <v>36</v>
      </c>
      <c r="K430" t="s">
        <v>19</v>
      </c>
      <c r="L430">
        <v>3</v>
      </c>
    </row>
    <row r="431" spans="1:12" x14ac:dyDescent="0.25">
      <c r="A431" t="s">
        <v>840</v>
      </c>
      <c r="B431" t="s">
        <v>841</v>
      </c>
      <c r="C431">
        <v>35</v>
      </c>
      <c r="D431" t="s">
        <v>14</v>
      </c>
      <c r="E431" t="s">
        <v>78</v>
      </c>
      <c r="F431" t="s">
        <v>40</v>
      </c>
      <c r="G431" t="s">
        <v>98</v>
      </c>
      <c r="H431">
        <v>1302391</v>
      </c>
      <c r="I431">
        <v>6</v>
      </c>
      <c r="J431" t="s">
        <v>42</v>
      </c>
      <c r="K431" t="s">
        <v>25</v>
      </c>
      <c r="L431">
        <v>3</v>
      </c>
    </row>
    <row r="432" spans="1:12" x14ac:dyDescent="0.25">
      <c r="A432" t="s">
        <v>842</v>
      </c>
      <c r="B432" t="s">
        <v>173</v>
      </c>
      <c r="C432">
        <v>35</v>
      </c>
      <c r="D432" t="s">
        <v>14</v>
      </c>
      <c r="E432" t="s">
        <v>61</v>
      </c>
      <c r="F432" t="s">
        <v>32</v>
      </c>
      <c r="G432" t="s">
        <v>79</v>
      </c>
      <c r="H432">
        <v>1621320</v>
      </c>
      <c r="I432">
        <v>9</v>
      </c>
      <c r="J432" t="s">
        <v>18</v>
      </c>
      <c r="K432" t="s">
        <v>25</v>
      </c>
      <c r="L432">
        <v>3</v>
      </c>
    </row>
    <row r="433" spans="1:12" x14ac:dyDescent="0.25">
      <c r="A433" t="s">
        <v>843</v>
      </c>
      <c r="B433" t="s">
        <v>687</v>
      </c>
      <c r="C433">
        <v>28</v>
      </c>
      <c r="D433" t="s">
        <v>14</v>
      </c>
      <c r="E433" t="s">
        <v>61</v>
      </c>
      <c r="F433" t="s">
        <v>74</v>
      </c>
      <c r="G433" t="s">
        <v>95</v>
      </c>
      <c r="H433">
        <v>422105</v>
      </c>
      <c r="I433">
        <v>0</v>
      </c>
      <c r="J433" t="s">
        <v>18</v>
      </c>
      <c r="K433" t="s">
        <v>25</v>
      </c>
      <c r="L433">
        <v>3</v>
      </c>
    </row>
    <row r="434" spans="1:12" x14ac:dyDescent="0.25">
      <c r="A434" t="s">
        <v>844</v>
      </c>
      <c r="B434" t="s">
        <v>581</v>
      </c>
      <c r="C434">
        <v>26</v>
      </c>
      <c r="D434" t="s">
        <v>22</v>
      </c>
      <c r="E434" t="s">
        <v>15</v>
      </c>
      <c r="F434" t="s">
        <v>40</v>
      </c>
      <c r="G434" t="s">
        <v>41</v>
      </c>
      <c r="H434">
        <v>480246</v>
      </c>
      <c r="I434">
        <v>0</v>
      </c>
      <c r="J434" t="s">
        <v>71</v>
      </c>
      <c r="K434" t="s">
        <v>19</v>
      </c>
      <c r="L434">
        <v>1</v>
      </c>
    </row>
    <row r="435" spans="1:12" x14ac:dyDescent="0.25">
      <c r="A435" t="s">
        <v>845</v>
      </c>
      <c r="B435" t="s">
        <v>846</v>
      </c>
      <c r="C435">
        <v>45</v>
      </c>
      <c r="D435" t="s">
        <v>14</v>
      </c>
      <c r="E435" t="s">
        <v>45</v>
      </c>
      <c r="F435" t="s">
        <v>46</v>
      </c>
      <c r="G435" t="s">
        <v>116</v>
      </c>
      <c r="H435">
        <v>1786593</v>
      </c>
      <c r="I435">
        <v>14</v>
      </c>
      <c r="J435" t="s">
        <v>42</v>
      </c>
      <c r="K435" t="s">
        <v>19</v>
      </c>
      <c r="L435">
        <v>3</v>
      </c>
    </row>
    <row r="436" spans="1:12" x14ac:dyDescent="0.25">
      <c r="A436" t="s">
        <v>847</v>
      </c>
      <c r="B436" t="s">
        <v>848</v>
      </c>
      <c r="C436">
        <v>33</v>
      </c>
      <c r="D436" t="s">
        <v>14</v>
      </c>
      <c r="E436" t="s">
        <v>23</v>
      </c>
      <c r="F436" t="s">
        <v>46</v>
      </c>
      <c r="G436" t="s">
        <v>113</v>
      </c>
      <c r="H436">
        <v>1135519</v>
      </c>
      <c r="I436">
        <v>3</v>
      </c>
      <c r="J436" t="s">
        <v>42</v>
      </c>
      <c r="K436" t="s">
        <v>25</v>
      </c>
      <c r="L436">
        <v>3</v>
      </c>
    </row>
    <row r="437" spans="1:12" x14ac:dyDescent="0.25">
      <c r="A437" t="s">
        <v>849</v>
      </c>
      <c r="B437" t="s">
        <v>850</v>
      </c>
      <c r="C437">
        <v>27</v>
      </c>
      <c r="D437" t="s">
        <v>22</v>
      </c>
      <c r="E437" t="s">
        <v>15</v>
      </c>
      <c r="F437" t="s">
        <v>136</v>
      </c>
      <c r="G437" t="s">
        <v>142</v>
      </c>
      <c r="H437">
        <v>857752</v>
      </c>
      <c r="I437">
        <v>4</v>
      </c>
      <c r="J437" t="s">
        <v>18</v>
      </c>
      <c r="K437" t="s">
        <v>25</v>
      </c>
      <c r="L437">
        <v>2</v>
      </c>
    </row>
    <row r="438" spans="1:12" x14ac:dyDescent="0.25">
      <c r="A438" t="s">
        <v>851</v>
      </c>
      <c r="B438" t="s">
        <v>852</v>
      </c>
      <c r="C438">
        <v>40</v>
      </c>
      <c r="D438" t="s">
        <v>14</v>
      </c>
      <c r="E438" t="s">
        <v>45</v>
      </c>
      <c r="F438" t="s">
        <v>66</v>
      </c>
      <c r="G438" t="s">
        <v>67</v>
      </c>
      <c r="H438">
        <v>1246066</v>
      </c>
      <c r="I438">
        <v>14</v>
      </c>
      <c r="J438" t="s">
        <v>18</v>
      </c>
      <c r="K438" t="s">
        <v>19</v>
      </c>
      <c r="L438">
        <v>4</v>
      </c>
    </row>
    <row r="439" spans="1:12" x14ac:dyDescent="0.25">
      <c r="A439" t="s">
        <v>853</v>
      </c>
      <c r="B439" t="s">
        <v>854</v>
      </c>
      <c r="C439">
        <v>29</v>
      </c>
      <c r="D439" t="s">
        <v>14</v>
      </c>
      <c r="E439" t="s">
        <v>61</v>
      </c>
      <c r="F439" t="s">
        <v>32</v>
      </c>
      <c r="G439" t="s">
        <v>221</v>
      </c>
      <c r="H439">
        <v>1211443</v>
      </c>
      <c r="I439">
        <v>0</v>
      </c>
      <c r="J439" t="s">
        <v>42</v>
      </c>
      <c r="K439" t="s">
        <v>25</v>
      </c>
      <c r="L439">
        <v>5</v>
      </c>
    </row>
    <row r="440" spans="1:12" x14ac:dyDescent="0.25">
      <c r="A440" t="s">
        <v>855</v>
      </c>
      <c r="B440" t="s">
        <v>856</v>
      </c>
      <c r="C440">
        <v>41</v>
      </c>
      <c r="D440" t="s">
        <v>22</v>
      </c>
      <c r="E440" t="s">
        <v>45</v>
      </c>
      <c r="F440" t="s">
        <v>136</v>
      </c>
      <c r="G440" t="s">
        <v>142</v>
      </c>
      <c r="H440">
        <v>1524086</v>
      </c>
      <c r="I440">
        <v>15</v>
      </c>
      <c r="J440" t="s">
        <v>36</v>
      </c>
      <c r="K440" t="s">
        <v>25</v>
      </c>
      <c r="L440">
        <v>3</v>
      </c>
    </row>
    <row r="441" spans="1:12" x14ac:dyDescent="0.25">
      <c r="A441" t="s">
        <v>857</v>
      </c>
      <c r="B441" t="s">
        <v>858</v>
      </c>
      <c r="C441">
        <v>34</v>
      </c>
      <c r="D441" t="s">
        <v>22</v>
      </c>
      <c r="E441" t="s">
        <v>45</v>
      </c>
      <c r="F441" t="s">
        <v>32</v>
      </c>
      <c r="G441" t="s">
        <v>107</v>
      </c>
      <c r="H441">
        <v>1505132</v>
      </c>
      <c r="I441">
        <v>7</v>
      </c>
      <c r="J441" t="s">
        <v>36</v>
      </c>
      <c r="K441" t="s">
        <v>25</v>
      </c>
      <c r="L441">
        <v>3</v>
      </c>
    </row>
    <row r="442" spans="1:12" x14ac:dyDescent="0.25">
      <c r="A442" t="s">
        <v>859</v>
      </c>
      <c r="B442" t="s">
        <v>860</v>
      </c>
      <c r="C442">
        <v>36</v>
      </c>
      <c r="D442" t="s">
        <v>22</v>
      </c>
      <c r="E442" t="s">
        <v>85</v>
      </c>
      <c r="F442" t="s">
        <v>32</v>
      </c>
      <c r="G442" t="s">
        <v>107</v>
      </c>
      <c r="H442">
        <v>1513064</v>
      </c>
      <c r="I442">
        <v>6</v>
      </c>
      <c r="J442" t="s">
        <v>42</v>
      </c>
      <c r="K442" t="s">
        <v>19</v>
      </c>
      <c r="L442">
        <v>3</v>
      </c>
    </row>
    <row r="443" spans="1:12" x14ac:dyDescent="0.25">
      <c r="A443" t="s">
        <v>861</v>
      </c>
      <c r="B443" t="s">
        <v>527</v>
      </c>
      <c r="C443">
        <v>21</v>
      </c>
      <c r="D443" t="s">
        <v>14</v>
      </c>
      <c r="E443" t="s">
        <v>23</v>
      </c>
      <c r="F443" t="s">
        <v>54</v>
      </c>
      <c r="G443" t="s">
        <v>119</v>
      </c>
      <c r="H443">
        <v>587764</v>
      </c>
      <c r="I443">
        <v>0</v>
      </c>
      <c r="J443" t="s">
        <v>18</v>
      </c>
      <c r="K443" t="s">
        <v>25</v>
      </c>
      <c r="L443">
        <v>3</v>
      </c>
    </row>
    <row r="444" spans="1:12" x14ac:dyDescent="0.25">
      <c r="A444" t="s">
        <v>862</v>
      </c>
      <c r="B444" t="s">
        <v>81</v>
      </c>
      <c r="C444">
        <v>41</v>
      </c>
      <c r="D444" t="s">
        <v>22</v>
      </c>
      <c r="E444" t="s">
        <v>45</v>
      </c>
      <c r="F444" t="s">
        <v>40</v>
      </c>
      <c r="G444" t="s">
        <v>82</v>
      </c>
      <c r="H444">
        <v>861609</v>
      </c>
      <c r="I444">
        <v>9</v>
      </c>
      <c r="J444" t="s">
        <v>71</v>
      </c>
      <c r="K444" t="s">
        <v>25</v>
      </c>
      <c r="L444">
        <v>3</v>
      </c>
    </row>
    <row r="445" spans="1:12" x14ac:dyDescent="0.25">
      <c r="A445" t="s">
        <v>863</v>
      </c>
      <c r="B445" t="s">
        <v>658</v>
      </c>
      <c r="C445">
        <v>29</v>
      </c>
      <c r="D445" t="s">
        <v>14</v>
      </c>
      <c r="E445" t="s">
        <v>61</v>
      </c>
      <c r="F445" t="s">
        <v>40</v>
      </c>
      <c r="G445" t="s">
        <v>58</v>
      </c>
      <c r="H445">
        <v>621515</v>
      </c>
      <c r="I445">
        <v>0</v>
      </c>
      <c r="J445" t="s">
        <v>42</v>
      </c>
      <c r="K445" t="s">
        <v>19</v>
      </c>
      <c r="L445">
        <v>3</v>
      </c>
    </row>
    <row r="446" spans="1:12" x14ac:dyDescent="0.25">
      <c r="A446" t="s">
        <v>864</v>
      </c>
      <c r="B446" t="s">
        <v>865</v>
      </c>
      <c r="C446">
        <v>42</v>
      </c>
      <c r="D446" t="s">
        <v>14</v>
      </c>
      <c r="E446" t="s">
        <v>23</v>
      </c>
      <c r="F446" t="s">
        <v>74</v>
      </c>
      <c r="G446" t="s">
        <v>75</v>
      </c>
      <c r="H446">
        <v>899357</v>
      </c>
      <c r="I446">
        <v>10</v>
      </c>
      <c r="J446" t="s">
        <v>18</v>
      </c>
      <c r="K446" t="s">
        <v>25</v>
      </c>
      <c r="L446">
        <v>1</v>
      </c>
    </row>
    <row r="447" spans="1:12" x14ac:dyDescent="0.25">
      <c r="A447" t="s">
        <v>866</v>
      </c>
      <c r="B447" t="s">
        <v>867</v>
      </c>
      <c r="C447">
        <v>30</v>
      </c>
      <c r="D447" t="s">
        <v>22</v>
      </c>
      <c r="E447" t="s">
        <v>78</v>
      </c>
      <c r="F447" t="s">
        <v>66</v>
      </c>
      <c r="G447" t="s">
        <v>204</v>
      </c>
      <c r="H447">
        <v>829904</v>
      </c>
      <c r="I447">
        <v>3</v>
      </c>
      <c r="J447" t="s">
        <v>36</v>
      </c>
      <c r="K447" t="s">
        <v>25</v>
      </c>
      <c r="L447">
        <v>5</v>
      </c>
    </row>
    <row r="448" spans="1:12" x14ac:dyDescent="0.25">
      <c r="A448" t="s">
        <v>868</v>
      </c>
      <c r="B448" t="s">
        <v>448</v>
      </c>
      <c r="C448">
        <v>27</v>
      </c>
      <c r="D448" t="s">
        <v>14</v>
      </c>
      <c r="E448" t="s">
        <v>28</v>
      </c>
      <c r="F448" t="s">
        <v>66</v>
      </c>
      <c r="G448" t="s">
        <v>67</v>
      </c>
      <c r="H448">
        <v>777711</v>
      </c>
      <c r="I448">
        <v>2</v>
      </c>
      <c r="J448" t="s">
        <v>42</v>
      </c>
      <c r="K448" t="s">
        <v>19</v>
      </c>
      <c r="L448">
        <v>3</v>
      </c>
    </row>
    <row r="449" spans="1:12" x14ac:dyDescent="0.25">
      <c r="A449" t="s">
        <v>869</v>
      </c>
      <c r="B449" t="s">
        <v>699</v>
      </c>
      <c r="C449">
        <v>31</v>
      </c>
      <c r="D449" t="s">
        <v>22</v>
      </c>
      <c r="E449" t="s">
        <v>45</v>
      </c>
      <c r="F449" t="s">
        <v>32</v>
      </c>
      <c r="G449" t="s">
        <v>221</v>
      </c>
      <c r="H449">
        <v>1334118</v>
      </c>
      <c r="I449">
        <v>5</v>
      </c>
      <c r="J449" t="s">
        <v>18</v>
      </c>
      <c r="K449" t="s">
        <v>25</v>
      </c>
      <c r="L449">
        <v>5</v>
      </c>
    </row>
    <row r="450" spans="1:12" x14ac:dyDescent="0.25">
      <c r="A450" t="s">
        <v>870</v>
      </c>
      <c r="B450" t="s">
        <v>871</v>
      </c>
      <c r="C450">
        <v>24</v>
      </c>
      <c r="D450" t="s">
        <v>14</v>
      </c>
      <c r="E450" t="s">
        <v>61</v>
      </c>
      <c r="F450" t="s">
        <v>74</v>
      </c>
      <c r="G450" t="s">
        <v>238</v>
      </c>
      <c r="H450">
        <v>508280</v>
      </c>
      <c r="I450">
        <v>3</v>
      </c>
      <c r="J450" t="s">
        <v>18</v>
      </c>
      <c r="K450" t="s">
        <v>25</v>
      </c>
      <c r="L450">
        <v>3</v>
      </c>
    </row>
    <row r="451" spans="1:12" x14ac:dyDescent="0.25">
      <c r="A451" t="s">
        <v>872</v>
      </c>
      <c r="B451" t="s">
        <v>435</v>
      </c>
      <c r="C451">
        <v>32</v>
      </c>
      <c r="D451" t="s">
        <v>22</v>
      </c>
      <c r="E451" t="s">
        <v>61</v>
      </c>
      <c r="F451" t="s">
        <v>74</v>
      </c>
      <c r="G451" t="s">
        <v>251</v>
      </c>
      <c r="H451">
        <v>545904</v>
      </c>
      <c r="I451">
        <v>3</v>
      </c>
      <c r="J451" t="s">
        <v>71</v>
      </c>
      <c r="K451" t="s">
        <v>25</v>
      </c>
      <c r="L451">
        <v>2</v>
      </c>
    </row>
    <row r="452" spans="1:12" x14ac:dyDescent="0.25">
      <c r="A452" t="s">
        <v>873</v>
      </c>
      <c r="B452" t="s">
        <v>599</v>
      </c>
      <c r="C452">
        <v>36</v>
      </c>
      <c r="D452" t="s">
        <v>14</v>
      </c>
      <c r="E452" t="s">
        <v>23</v>
      </c>
      <c r="F452" t="s">
        <v>66</v>
      </c>
      <c r="G452" t="s">
        <v>204</v>
      </c>
      <c r="H452">
        <v>771104</v>
      </c>
      <c r="I452">
        <v>5</v>
      </c>
      <c r="J452" t="s">
        <v>42</v>
      </c>
      <c r="K452" t="s">
        <v>25</v>
      </c>
      <c r="L452">
        <v>3</v>
      </c>
    </row>
    <row r="453" spans="1:12" x14ac:dyDescent="0.25">
      <c r="A453" t="s">
        <v>874</v>
      </c>
      <c r="B453" t="s">
        <v>875</v>
      </c>
      <c r="C453">
        <v>27</v>
      </c>
      <c r="D453" t="s">
        <v>14</v>
      </c>
      <c r="E453" t="s">
        <v>61</v>
      </c>
      <c r="F453" t="s">
        <v>54</v>
      </c>
      <c r="G453" t="s">
        <v>119</v>
      </c>
      <c r="H453">
        <v>848186</v>
      </c>
      <c r="I453">
        <v>6</v>
      </c>
      <c r="J453" t="s">
        <v>18</v>
      </c>
      <c r="K453" t="s">
        <v>19</v>
      </c>
      <c r="L453">
        <v>2</v>
      </c>
    </row>
    <row r="454" spans="1:12" x14ac:dyDescent="0.25">
      <c r="A454" t="s">
        <v>876</v>
      </c>
      <c r="B454" t="s">
        <v>850</v>
      </c>
      <c r="C454">
        <v>43</v>
      </c>
      <c r="D454" t="s">
        <v>14</v>
      </c>
      <c r="E454" t="s">
        <v>78</v>
      </c>
      <c r="F454" t="s">
        <v>66</v>
      </c>
      <c r="G454" t="s">
        <v>198</v>
      </c>
      <c r="H454">
        <v>1076101</v>
      </c>
      <c r="I454">
        <v>9</v>
      </c>
      <c r="J454" t="s">
        <v>18</v>
      </c>
      <c r="K454" t="s">
        <v>25</v>
      </c>
      <c r="L454">
        <v>2</v>
      </c>
    </row>
    <row r="455" spans="1:12" x14ac:dyDescent="0.25">
      <c r="A455" t="s">
        <v>877</v>
      </c>
      <c r="B455" t="s">
        <v>878</v>
      </c>
      <c r="C455">
        <v>25</v>
      </c>
      <c r="D455" t="s">
        <v>14</v>
      </c>
      <c r="E455" t="s">
        <v>85</v>
      </c>
      <c r="F455" t="s">
        <v>136</v>
      </c>
      <c r="G455" t="s">
        <v>142</v>
      </c>
      <c r="H455">
        <v>502280</v>
      </c>
      <c r="I455">
        <v>0</v>
      </c>
      <c r="J455" t="s">
        <v>18</v>
      </c>
      <c r="K455" t="s">
        <v>25</v>
      </c>
      <c r="L455">
        <v>3</v>
      </c>
    </row>
    <row r="456" spans="1:12" x14ac:dyDescent="0.25">
      <c r="A456" t="s">
        <v>879</v>
      </c>
      <c r="B456" t="s">
        <v>581</v>
      </c>
      <c r="C456">
        <v>29</v>
      </c>
      <c r="D456" t="s">
        <v>22</v>
      </c>
      <c r="E456" t="s">
        <v>50</v>
      </c>
      <c r="F456" t="s">
        <v>16</v>
      </c>
      <c r="G456" t="s">
        <v>24</v>
      </c>
      <c r="H456">
        <v>1191128</v>
      </c>
      <c r="I456">
        <v>7</v>
      </c>
      <c r="J456" t="s">
        <v>36</v>
      </c>
      <c r="K456" t="s">
        <v>19</v>
      </c>
      <c r="L456">
        <v>3</v>
      </c>
    </row>
    <row r="457" spans="1:12" x14ac:dyDescent="0.25">
      <c r="A457" t="s">
        <v>880</v>
      </c>
      <c r="B457" t="s">
        <v>131</v>
      </c>
      <c r="C457">
        <v>24</v>
      </c>
      <c r="D457" t="s">
        <v>22</v>
      </c>
      <c r="E457" t="s">
        <v>50</v>
      </c>
      <c r="F457" t="s">
        <v>74</v>
      </c>
      <c r="G457" t="s">
        <v>238</v>
      </c>
      <c r="H457">
        <v>729665</v>
      </c>
      <c r="I457">
        <v>3</v>
      </c>
      <c r="J457" t="s">
        <v>18</v>
      </c>
      <c r="K457" t="s">
        <v>25</v>
      </c>
      <c r="L457">
        <v>3</v>
      </c>
    </row>
    <row r="458" spans="1:12" x14ac:dyDescent="0.25">
      <c r="A458" t="s">
        <v>881</v>
      </c>
      <c r="B458" t="s">
        <v>882</v>
      </c>
      <c r="C458">
        <v>21</v>
      </c>
      <c r="D458" t="s">
        <v>14</v>
      </c>
      <c r="E458" t="s">
        <v>31</v>
      </c>
      <c r="F458" t="s">
        <v>32</v>
      </c>
      <c r="G458" t="s">
        <v>79</v>
      </c>
      <c r="H458">
        <v>1296024</v>
      </c>
      <c r="I458">
        <v>0</v>
      </c>
      <c r="J458" t="s">
        <v>36</v>
      </c>
      <c r="K458" t="s">
        <v>25</v>
      </c>
      <c r="L458">
        <v>3</v>
      </c>
    </row>
    <row r="459" spans="1:12" x14ac:dyDescent="0.25">
      <c r="A459" t="s">
        <v>883</v>
      </c>
      <c r="B459" t="s">
        <v>884</v>
      </c>
      <c r="C459">
        <v>35</v>
      </c>
      <c r="D459" t="s">
        <v>14</v>
      </c>
      <c r="E459" t="s">
        <v>85</v>
      </c>
      <c r="F459" t="s">
        <v>54</v>
      </c>
      <c r="G459" t="s">
        <v>55</v>
      </c>
      <c r="H459">
        <v>994070</v>
      </c>
      <c r="I459">
        <v>4</v>
      </c>
      <c r="J459" t="s">
        <v>18</v>
      </c>
      <c r="K459" t="s">
        <v>19</v>
      </c>
      <c r="L459">
        <v>4</v>
      </c>
    </row>
    <row r="460" spans="1:12" x14ac:dyDescent="0.25">
      <c r="A460" t="s">
        <v>885</v>
      </c>
      <c r="B460" t="s">
        <v>660</v>
      </c>
      <c r="C460">
        <v>28</v>
      </c>
      <c r="D460" t="s">
        <v>14</v>
      </c>
      <c r="E460" t="s">
        <v>15</v>
      </c>
      <c r="F460" t="s">
        <v>32</v>
      </c>
      <c r="G460" t="s">
        <v>129</v>
      </c>
      <c r="H460">
        <v>1938593</v>
      </c>
      <c r="I460">
        <v>6</v>
      </c>
      <c r="J460" t="s">
        <v>42</v>
      </c>
      <c r="K460" t="s">
        <v>25</v>
      </c>
      <c r="L460">
        <v>3</v>
      </c>
    </row>
    <row r="461" spans="1:12" x14ac:dyDescent="0.25">
      <c r="A461" t="s">
        <v>886</v>
      </c>
      <c r="B461" t="s">
        <v>200</v>
      </c>
      <c r="C461">
        <v>38</v>
      </c>
      <c r="D461" t="s">
        <v>14</v>
      </c>
      <c r="E461" t="s">
        <v>45</v>
      </c>
      <c r="F461" t="s">
        <v>54</v>
      </c>
      <c r="G461" t="s">
        <v>119</v>
      </c>
      <c r="H461">
        <v>929933</v>
      </c>
      <c r="I461">
        <v>7</v>
      </c>
      <c r="J461" t="s">
        <v>18</v>
      </c>
      <c r="K461" t="s">
        <v>25</v>
      </c>
      <c r="L461">
        <v>3</v>
      </c>
    </row>
    <row r="462" spans="1:12" x14ac:dyDescent="0.25">
      <c r="A462" t="s">
        <v>887</v>
      </c>
      <c r="B462" t="s">
        <v>644</v>
      </c>
      <c r="C462">
        <v>39</v>
      </c>
      <c r="D462" t="s">
        <v>14</v>
      </c>
      <c r="E462" t="s">
        <v>78</v>
      </c>
      <c r="F462" t="s">
        <v>66</v>
      </c>
      <c r="G462" t="s">
        <v>101</v>
      </c>
      <c r="H462">
        <v>1366244</v>
      </c>
      <c r="I462">
        <v>10</v>
      </c>
      <c r="J462" t="s">
        <v>36</v>
      </c>
      <c r="K462" t="s">
        <v>25</v>
      </c>
      <c r="L462">
        <v>4</v>
      </c>
    </row>
    <row r="463" spans="1:12" x14ac:dyDescent="0.25">
      <c r="A463" t="s">
        <v>888</v>
      </c>
      <c r="B463" t="s">
        <v>889</v>
      </c>
      <c r="C463">
        <v>21</v>
      </c>
      <c r="D463" t="s">
        <v>14</v>
      </c>
      <c r="E463" t="s">
        <v>31</v>
      </c>
      <c r="F463" t="s">
        <v>32</v>
      </c>
      <c r="G463" t="s">
        <v>33</v>
      </c>
      <c r="H463">
        <v>1072027</v>
      </c>
      <c r="I463">
        <v>0</v>
      </c>
      <c r="J463" t="s">
        <v>18</v>
      </c>
      <c r="K463" t="s">
        <v>25</v>
      </c>
      <c r="L463">
        <v>3</v>
      </c>
    </row>
    <row r="464" spans="1:12" x14ac:dyDescent="0.25">
      <c r="A464" t="s">
        <v>890</v>
      </c>
      <c r="B464" t="s">
        <v>891</v>
      </c>
      <c r="C464">
        <v>43</v>
      </c>
      <c r="D464" t="s">
        <v>22</v>
      </c>
      <c r="E464" t="s">
        <v>39</v>
      </c>
      <c r="F464" t="s">
        <v>32</v>
      </c>
      <c r="G464" t="s">
        <v>107</v>
      </c>
      <c r="H464">
        <v>1895167</v>
      </c>
      <c r="I464">
        <v>17</v>
      </c>
      <c r="J464" t="s">
        <v>18</v>
      </c>
      <c r="K464" t="s">
        <v>25</v>
      </c>
      <c r="L464">
        <v>3</v>
      </c>
    </row>
    <row r="465" spans="1:12" x14ac:dyDescent="0.25">
      <c r="A465" t="s">
        <v>892</v>
      </c>
      <c r="B465" t="s">
        <v>177</v>
      </c>
      <c r="C465">
        <v>26</v>
      </c>
      <c r="D465" t="s">
        <v>14</v>
      </c>
      <c r="E465" t="s">
        <v>31</v>
      </c>
      <c r="F465" t="s">
        <v>40</v>
      </c>
      <c r="G465" t="s">
        <v>82</v>
      </c>
      <c r="H465">
        <v>684015</v>
      </c>
      <c r="I465">
        <v>4</v>
      </c>
      <c r="J465" t="s">
        <v>42</v>
      </c>
      <c r="K465" t="s">
        <v>25</v>
      </c>
      <c r="L465">
        <v>3</v>
      </c>
    </row>
    <row r="466" spans="1:12" x14ac:dyDescent="0.25">
      <c r="A466" t="s">
        <v>893</v>
      </c>
      <c r="B466" t="s">
        <v>725</v>
      </c>
      <c r="C466">
        <v>40</v>
      </c>
      <c r="D466" t="s">
        <v>22</v>
      </c>
      <c r="E466" t="s">
        <v>85</v>
      </c>
      <c r="F466" t="s">
        <v>46</v>
      </c>
      <c r="G466" t="s">
        <v>116</v>
      </c>
      <c r="H466">
        <v>1818738</v>
      </c>
      <c r="I466">
        <v>13</v>
      </c>
      <c r="J466" t="s">
        <v>18</v>
      </c>
      <c r="K466" t="s">
        <v>25</v>
      </c>
      <c r="L466">
        <v>3</v>
      </c>
    </row>
    <row r="467" spans="1:12" x14ac:dyDescent="0.25">
      <c r="A467" t="s">
        <v>894</v>
      </c>
      <c r="B467" t="s">
        <v>255</v>
      </c>
      <c r="C467">
        <v>24</v>
      </c>
      <c r="D467" t="s">
        <v>14</v>
      </c>
      <c r="E467" t="s">
        <v>78</v>
      </c>
      <c r="F467" t="s">
        <v>32</v>
      </c>
      <c r="G467" t="s">
        <v>107</v>
      </c>
      <c r="H467">
        <v>1288048</v>
      </c>
      <c r="I467">
        <v>0</v>
      </c>
      <c r="J467" t="s">
        <v>42</v>
      </c>
      <c r="K467" t="s">
        <v>19</v>
      </c>
      <c r="L467">
        <v>3</v>
      </c>
    </row>
    <row r="468" spans="1:12" x14ac:dyDescent="0.25">
      <c r="A468" t="s">
        <v>895</v>
      </c>
      <c r="B468" t="s">
        <v>896</v>
      </c>
      <c r="C468">
        <v>26</v>
      </c>
      <c r="D468" t="s">
        <v>14</v>
      </c>
      <c r="E468" t="s">
        <v>15</v>
      </c>
      <c r="F468" t="s">
        <v>136</v>
      </c>
      <c r="G468" t="s">
        <v>207</v>
      </c>
      <c r="H468">
        <v>901020</v>
      </c>
      <c r="I468">
        <v>3</v>
      </c>
      <c r="J468" t="s">
        <v>36</v>
      </c>
      <c r="K468" t="s">
        <v>25</v>
      </c>
      <c r="L468">
        <v>1</v>
      </c>
    </row>
    <row r="469" spans="1:12" x14ac:dyDescent="0.25">
      <c r="A469" t="s">
        <v>897</v>
      </c>
      <c r="B469" t="s">
        <v>898</v>
      </c>
      <c r="C469">
        <v>33</v>
      </c>
      <c r="D469" t="s">
        <v>14</v>
      </c>
      <c r="E469" t="s">
        <v>31</v>
      </c>
      <c r="F469" t="s">
        <v>46</v>
      </c>
      <c r="G469" t="s">
        <v>116</v>
      </c>
      <c r="H469">
        <v>1707086</v>
      </c>
      <c r="I469">
        <v>10</v>
      </c>
      <c r="J469" t="s">
        <v>42</v>
      </c>
      <c r="K469" t="s">
        <v>19</v>
      </c>
      <c r="L469">
        <v>3</v>
      </c>
    </row>
    <row r="470" spans="1:12" x14ac:dyDescent="0.25">
      <c r="A470" t="s">
        <v>899</v>
      </c>
      <c r="B470" t="s">
        <v>574</v>
      </c>
      <c r="C470">
        <v>41</v>
      </c>
      <c r="D470" t="s">
        <v>14</v>
      </c>
      <c r="E470" t="s">
        <v>15</v>
      </c>
      <c r="F470" t="s">
        <v>136</v>
      </c>
      <c r="G470" t="s">
        <v>191</v>
      </c>
      <c r="H470">
        <v>944540</v>
      </c>
      <c r="I470">
        <v>6</v>
      </c>
      <c r="J470" t="s">
        <v>18</v>
      </c>
      <c r="K470" t="s">
        <v>19</v>
      </c>
      <c r="L470">
        <v>2</v>
      </c>
    </row>
    <row r="471" spans="1:12" x14ac:dyDescent="0.25">
      <c r="A471" t="s">
        <v>900</v>
      </c>
      <c r="B471" t="s">
        <v>901</v>
      </c>
      <c r="C471">
        <v>27</v>
      </c>
      <c r="D471" t="s">
        <v>22</v>
      </c>
      <c r="E471" t="s">
        <v>39</v>
      </c>
      <c r="F471" t="s">
        <v>74</v>
      </c>
      <c r="G471" t="s">
        <v>238</v>
      </c>
      <c r="H471">
        <v>426097</v>
      </c>
      <c r="I471">
        <v>6</v>
      </c>
      <c r="J471" t="s">
        <v>71</v>
      </c>
      <c r="K471" t="s">
        <v>25</v>
      </c>
      <c r="L471">
        <v>3</v>
      </c>
    </row>
    <row r="472" spans="1:12" x14ac:dyDescent="0.25">
      <c r="A472" t="s">
        <v>902</v>
      </c>
      <c r="B472" t="s">
        <v>112</v>
      </c>
      <c r="C472">
        <v>26</v>
      </c>
      <c r="D472" t="s">
        <v>14</v>
      </c>
      <c r="E472" t="s">
        <v>39</v>
      </c>
      <c r="F472" t="s">
        <v>32</v>
      </c>
      <c r="G472" t="s">
        <v>221</v>
      </c>
      <c r="H472">
        <v>1111193</v>
      </c>
      <c r="I472">
        <v>0</v>
      </c>
      <c r="J472" t="s">
        <v>42</v>
      </c>
      <c r="K472" t="s">
        <v>19</v>
      </c>
      <c r="L472">
        <v>3</v>
      </c>
    </row>
    <row r="473" spans="1:12" x14ac:dyDescent="0.25">
      <c r="A473" t="s">
        <v>903</v>
      </c>
      <c r="B473" t="s">
        <v>904</v>
      </c>
      <c r="C473">
        <v>29</v>
      </c>
      <c r="D473" t="s">
        <v>14</v>
      </c>
      <c r="E473" t="s">
        <v>23</v>
      </c>
      <c r="F473" t="s">
        <v>54</v>
      </c>
      <c r="G473" t="s">
        <v>55</v>
      </c>
      <c r="H473">
        <v>1235523</v>
      </c>
      <c r="I473">
        <v>7</v>
      </c>
      <c r="J473" t="s">
        <v>71</v>
      </c>
      <c r="K473" t="s">
        <v>25</v>
      </c>
      <c r="L473">
        <v>3</v>
      </c>
    </row>
    <row r="474" spans="1:12" x14ac:dyDescent="0.25">
      <c r="A474" t="s">
        <v>905</v>
      </c>
      <c r="B474" t="s">
        <v>906</v>
      </c>
      <c r="C474">
        <v>28</v>
      </c>
      <c r="D474" t="s">
        <v>22</v>
      </c>
      <c r="E474" t="s">
        <v>50</v>
      </c>
      <c r="F474" t="s">
        <v>32</v>
      </c>
      <c r="G474" t="s">
        <v>33</v>
      </c>
      <c r="H474">
        <v>973355</v>
      </c>
      <c r="I474">
        <v>0</v>
      </c>
      <c r="J474" t="s">
        <v>36</v>
      </c>
      <c r="K474" t="s">
        <v>19</v>
      </c>
      <c r="L474">
        <v>5</v>
      </c>
    </row>
    <row r="475" spans="1:12" x14ac:dyDescent="0.25">
      <c r="A475" t="s">
        <v>907</v>
      </c>
      <c r="B475" t="s">
        <v>908</v>
      </c>
      <c r="C475">
        <v>30</v>
      </c>
      <c r="D475" t="s">
        <v>14</v>
      </c>
      <c r="E475" t="s">
        <v>31</v>
      </c>
      <c r="F475" t="s">
        <v>16</v>
      </c>
      <c r="G475" t="s">
        <v>126</v>
      </c>
      <c r="H475">
        <v>1368803</v>
      </c>
      <c r="I475">
        <v>8</v>
      </c>
      <c r="J475" t="s">
        <v>18</v>
      </c>
      <c r="K475" t="s">
        <v>25</v>
      </c>
      <c r="L475">
        <v>2</v>
      </c>
    </row>
    <row r="476" spans="1:12" x14ac:dyDescent="0.25">
      <c r="A476" t="s">
        <v>909</v>
      </c>
      <c r="B476" t="s">
        <v>601</v>
      </c>
      <c r="C476">
        <v>36</v>
      </c>
      <c r="D476" t="s">
        <v>14</v>
      </c>
      <c r="E476" t="s">
        <v>50</v>
      </c>
      <c r="F476" t="s">
        <v>74</v>
      </c>
      <c r="G476" t="s">
        <v>75</v>
      </c>
      <c r="H476">
        <v>882377</v>
      </c>
      <c r="I476">
        <v>4</v>
      </c>
      <c r="J476" t="s">
        <v>18</v>
      </c>
      <c r="K476" t="s">
        <v>25</v>
      </c>
      <c r="L476">
        <v>3</v>
      </c>
    </row>
    <row r="477" spans="1:12" x14ac:dyDescent="0.25">
      <c r="A477" t="s">
        <v>910</v>
      </c>
      <c r="B477" t="s">
        <v>215</v>
      </c>
      <c r="C477">
        <v>31</v>
      </c>
      <c r="D477" t="s">
        <v>22</v>
      </c>
      <c r="E477" t="s">
        <v>23</v>
      </c>
      <c r="F477" t="s">
        <v>136</v>
      </c>
      <c r="G477" t="s">
        <v>137</v>
      </c>
      <c r="H477">
        <v>1479666</v>
      </c>
      <c r="I477">
        <v>10</v>
      </c>
      <c r="J477" t="s">
        <v>42</v>
      </c>
      <c r="K477" t="s">
        <v>25</v>
      </c>
      <c r="L477">
        <v>3</v>
      </c>
    </row>
    <row r="478" spans="1:12" x14ac:dyDescent="0.25">
      <c r="A478" t="s">
        <v>911</v>
      </c>
      <c r="B478" t="s">
        <v>87</v>
      </c>
      <c r="C478">
        <v>21</v>
      </c>
      <c r="D478" t="s">
        <v>22</v>
      </c>
      <c r="E478" t="s">
        <v>45</v>
      </c>
      <c r="F478" t="s">
        <v>74</v>
      </c>
      <c r="G478" t="s">
        <v>238</v>
      </c>
      <c r="H478">
        <v>396323</v>
      </c>
      <c r="I478">
        <v>0</v>
      </c>
      <c r="J478" t="s">
        <v>18</v>
      </c>
      <c r="K478" t="s">
        <v>25</v>
      </c>
      <c r="L478">
        <v>4</v>
      </c>
    </row>
    <row r="479" spans="1:12" x14ac:dyDescent="0.25">
      <c r="A479" t="s">
        <v>912</v>
      </c>
      <c r="B479" t="s">
        <v>913</v>
      </c>
      <c r="C479">
        <v>30</v>
      </c>
      <c r="D479" t="s">
        <v>14</v>
      </c>
      <c r="E479" t="s">
        <v>78</v>
      </c>
      <c r="F479" t="s">
        <v>54</v>
      </c>
      <c r="G479" t="s">
        <v>119</v>
      </c>
      <c r="H479">
        <v>786562</v>
      </c>
      <c r="I479">
        <v>2</v>
      </c>
      <c r="J479" t="s">
        <v>18</v>
      </c>
      <c r="K479" t="s">
        <v>25</v>
      </c>
      <c r="L479">
        <v>3</v>
      </c>
    </row>
    <row r="480" spans="1:12" x14ac:dyDescent="0.25">
      <c r="A480" t="s">
        <v>914</v>
      </c>
      <c r="B480" t="s">
        <v>915</v>
      </c>
      <c r="C480">
        <v>33</v>
      </c>
      <c r="D480" t="s">
        <v>14</v>
      </c>
      <c r="E480" t="s">
        <v>78</v>
      </c>
      <c r="F480" t="s">
        <v>46</v>
      </c>
      <c r="G480" t="s">
        <v>113</v>
      </c>
      <c r="H480">
        <v>1068675</v>
      </c>
      <c r="I480">
        <v>3</v>
      </c>
      <c r="J480" t="s">
        <v>18</v>
      </c>
      <c r="K480" t="s">
        <v>25</v>
      </c>
      <c r="L480">
        <v>3</v>
      </c>
    </row>
    <row r="481" spans="1:12" x14ac:dyDescent="0.25">
      <c r="A481" t="s">
        <v>916</v>
      </c>
      <c r="B481" t="s">
        <v>917</v>
      </c>
      <c r="C481">
        <v>28</v>
      </c>
      <c r="D481" t="s">
        <v>22</v>
      </c>
      <c r="E481" t="s">
        <v>78</v>
      </c>
      <c r="F481" t="s">
        <v>16</v>
      </c>
      <c r="G481" t="s">
        <v>51</v>
      </c>
      <c r="H481">
        <v>988139</v>
      </c>
      <c r="I481">
        <v>0</v>
      </c>
      <c r="J481" t="s">
        <v>36</v>
      </c>
      <c r="K481" t="s">
        <v>25</v>
      </c>
      <c r="L481">
        <v>3</v>
      </c>
    </row>
    <row r="482" spans="1:12" x14ac:dyDescent="0.25">
      <c r="A482" t="s">
        <v>918</v>
      </c>
      <c r="B482" t="s">
        <v>395</v>
      </c>
      <c r="C482">
        <v>45</v>
      </c>
      <c r="D482" t="s">
        <v>22</v>
      </c>
      <c r="E482" t="s">
        <v>61</v>
      </c>
      <c r="F482" t="s">
        <v>66</v>
      </c>
      <c r="G482" t="s">
        <v>198</v>
      </c>
      <c r="H482">
        <v>1095527</v>
      </c>
      <c r="I482">
        <v>10</v>
      </c>
      <c r="J482" t="s">
        <v>36</v>
      </c>
      <c r="K482" t="s">
        <v>25</v>
      </c>
      <c r="L482">
        <v>5</v>
      </c>
    </row>
    <row r="483" spans="1:12" x14ac:dyDescent="0.25">
      <c r="A483" t="s">
        <v>919</v>
      </c>
      <c r="B483" t="s">
        <v>77</v>
      </c>
      <c r="C483">
        <v>35</v>
      </c>
      <c r="D483" t="s">
        <v>14</v>
      </c>
      <c r="E483" t="s">
        <v>50</v>
      </c>
      <c r="F483" t="s">
        <v>136</v>
      </c>
      <c r="G483" t="s">
        <v>142</v>
      </c>
      <c r="H483">
        <v>1272647</v>
      </c>
      <c r="I483">
        <v>12</v>
      </c>
      <c r="J483" t="s">
        <v>18</v>
      </c>
      <c r="K483" t="s">
        <v>25</v>
      </c>
      <c r="L483">
        <v>2</v>
      </c>
    </row>
    <row r="484" spans="1:12" x14ac:dyDescent="0.25">
      <c r="A484" t="s">
        <v>920</v>
      </c>
      <c r="B484" t="s">
        <v>181</v>
      </c>
      <c r="C484">
        <v>26</v>
      </c>
      <c r="D484" t="s">
        <v>14</v>
      </c>
      <c r="E484" t="s">
        <v>15</v>
      </c>
      <c r="F484" t="s">
        <v>66</v>
      </c>
      <c r="G484" t="s">
        <v>204</v>
      </c>
      <c r="H484">
        <v>989628</v>
      </c>
      <c r="I484">
        <v>4</v>
      </c>
      <c r="J484" t="s">
        <v>42</v>
      </c>
      <c r="K484" t="s">
        <v>25</v>
      </c>
      <c r="L484">
        <v>3</v>
      </c>
    </row>
    <row r="485" spans="1:12" x14ac:dyDescent="0.25">
      <c r="A485" t="s">
        <v>921</v>
      </c>
      <c r="B485" t="s">
        <v>922</v>
      </c>
      <c r="C485">
        <v>33</v>
      </c>
      <c r="D485" t="s">
        <v>22</v>
      </c>
      <c r="E485" t="s">
        <v>85</v>
      </c>
      <c r="F485" t="s">
        <v>32</v>
      </c>
      <c r="G485" t="s">
        <v>79</v>
      </c>
      <c r="H485">
        <v>1499532</v>
      </c>
      <c r="I485">
        <v>4</v>
      </c>
      <c r="J485" t="s">
        <v>145</v>
      </c>
      <c r="K485" t="s">
        <v>25</v>
      </c>
      <c r="L485">
        <v>3</v>
      </c>
    </row>
    <row r="486" spans="1:12" x14ac:dyDescent="0.25">
      <c r="A486" t="s">
        <v>923</v>
      </c>
      <c r="B486" t="s">
        <v>924</v>
      </c>
      <c r="C486">
        <v>30</v>
      </c>
      <c r="D486" t="s">
        <v>14</v>
      </c>
      <c r="E486" t="s">
        <v>85</v>
      </c>
      <c r="F486" t="s">
        <v>32</v>
      </c>
      <c r="G486" t="s">
        <v>107</v>
      </c>
      <c r="H486">
        <v>1265722</v>
      </c>
      <c r="I486">
        <v>1</v>
      </c>
      <c r="J486" t="s">
        <v>18</v>
      </c>
      <c r="K486" t="s">
        <v>25</v>
      </c>
      <c r="L486">
        <v>2</v>
      </c>
    </row>
    <row r="487" spans="1:12" x14ac:dyDescent="0.25">
      <c r="A487" t="s">
        <v>925</v>
      </c>
      <c r="B487" t="s">
        <v>926</v>
      </c>
      <c r="C487">
        <v>34</v>
      </c>
      <c r="D487" t="s">
        <v>22</v>
      </c>
      <c r="E487" t="s">
        <v>15</v>
      </c>
      <c r="F487" t="s">
        <v>40</v>
      </c>
      <c r="G487" t="s">
        <v>41</v>
      </c>
      <c r="H487">
        <v>861278</v>
      </c>
      <c r="I487">
        <v>8</v>
      </c>
      <c r="J487" t="s">
        <v>71</v>
      </c>
      <c r="K487" t="s">
        <v>25</v>
      </c>
      <c r="L487">
        <v>2</v>
      </c>
    </row>
    <row r="488" spans="1:12" x14ac:dyDescent="0.25">
      <c r="A488" t="s">
        <v>927</v>
      </c>
      <c r="B488" t="s">
        <v>477</v>
      </c>
      <c r="C488">
        <v>35</v>
      </c>
      <c r="D488" t="s">
        <v>22</v>
      </c>
      <c r="E488" t="s">
        <v>45</v>
      </c>
      <c r="F488" t="s">
        <v>66</v>
      </c>
      <c r="G488" t="s">
        <v>101</v>
      </c>
      <c r="H488">
        <v>1304018</v>
      </c>
      <c r="I488">
        <v>5</v>
      </c>
      <c r="J488" t="s">
        <v>18</v>
      </c>
      <c r="K488" t="s">
        <v>25</v>
      </c>
      <c r="L488">
        <v>4</v>
      </c>
    </row>
    <row r="489" spans="1:12" x14ac:dyDescent="0.25">
      <c r="A489" t="s">
        <v>928</v>
      </c>
      <c r="B489" t="s">
        <v>175</v>
      </c>
      <c r="C489">
        <v>35</v>
      </c>
      <c r="D489" t="s">
        <v>14</v>
      </c>
      <c r="E489" t="s">
        <v>39</v>
      </c>
      <c r="F489" t="s">
        <v>136</v>
      </c>
      <c r="G489" t="s">
        <v>137</v>
      </c>
      <c r="H489">
        <v>1166723</v>
      </c>
      <c r="I489">
        <v>5</v>
      </c>
      <c r="J489" t="s">
        <v>42</v>
      </c>
      <c r="K489" t="s">
        <v>19</v>
      </c>
      <c r="L489">
        <v>3</v>
      </c>
    </row>
    <row r="490" spans="1:12" x14ac:dyDescent="0.25">
      <c r="A490" t="s">
        <v>929</v>
      </c>
      <c r="B490" t="s">
        <v>930</v>
      </c>
      <c r="C490">
        <v>30</v>
      </c>
      <c r="D490" t="s">
        <v>22</v>
      </c>
      <c r="E490" t="s">
        <v>15</v>
      </c>
      <c r="F490" t="s">
        <v>40</v>
      </c>
      <c r="G490" t="s">
        <v>98</v>
      </c>
      <c r="H490">
        <v>1136825</v>
      </c>
      <c r="I490">
        <v>7</v>
      </c>
      <c r="J490" t="s">
        <v>18</v>
      </c>
      <c r="K490" t="s">
        <v>25</v>
      </c>
      <c r="L490">
        <v>3</v>
      </c>
    </row>
    <row r="491" spans="1:12" x14ac:dyDescent="0.25">
      <c r="A491" t="s">
        <v>931</v>
      </c>
      <c r="B491" t="s">
        <v>932</v>
      </c>
      <c r="C491">
        <v>40</v>
      </c>
      <c r="D491" t="s">
        <v>14</v>
      </c>
      <c r="E491" t="s">
        <v>31</v>
      </c>
      <c r="F491" t="s">
        <v>54</v>
      </c>
      <c r="G491" t="s">
        <v>119</v>
      </c>
      <c r="H491">
        <v>1214119</v>
      </c>
      <c r="I491">
        <v>11</v>
      </c>
      <c r="J491" t="s">
        <v>42</v>
      </c>
      <c r="K491" t="s">
        <v>25</v>
      </c>
      <c r="L491">
        <v>3</v>
      </c>
    </row>
    <row r="492" spans="1:12" x14ac:dyDescent="0.25">
      <c r="A492" t="s">
        <v>933</v>
      </c>
      <c r="B492" t="s">
        <v>934</v>
      </c>
      <c r="C492">
        <v>22</v>
      </c>
      <c r="D492" t="s">
        <v>14</v>
      </c>
      <c r="E492" t="s">
        <v>85</v>
      </c>
      <c r="F492" t="s">
        <v>32</v>
      </c>
      <c r="G492" t="s">
        <v>33</v>
      </c>
      <c r="H492">
        <v>1141035</v>
      </c>
      <c r="I492">
        <v>1</v>
      </c>
      <c r="J492" t="s">
        <v>42</v>
      </c>
      <c r="K492" t="s">
        <v>19</v>
      </c>
      <c r="L492">
        <v>3</v>
      </c>
    </row>
    <row r="493" spans="1:12" x14ac:dyDescent="0.25">
      <c r="A493" t="s">
        <v>935</v>
      </c>
      <c r="B493" t="s">
        <v>867</v>
      </c>
      <c r="C493">
        <v>35</v>
      </c>
      <c r="D493" t="s">
        <v>22</v>
      </c>
      <c r="E493" t="s">
        <v>78</v>
      </c>
      <c r="F493" t="s">
        <v>16</v>
      </c>
      <c r="G493" t="s">
        <v>51</v>
      </c>
      <c r="H493">
        <v>1282553</v>
      </c>
      <c r="I493">
        <v>7</v>
      </c>
      <c r="J493" t="s">
        <v>18</v>
      </c>
      <c r="K493" t="s">
        <v>25</v>
      </c>
      <c r="L493">
        <v>3</v>
      </c>
    </row>
    <row r="494" spans="1:12" x14ac:dyDescent="0.25">
      <c r="A494" t="s">
        <v>936</v>
      </c>
      <c r="B494" t="s">
        <v>937</v>
      </c>
      <c r="C494">
        <v>34</v>
      </c>
      <c r="D494" t="s">
        <v>14</v>
      </c>
      <c r="E494" t="s">
        <v>39</v>
      </c>
      <c r="F494" t="s">
        <v>32</v>
      </c>
      <c r="G494" t="s">
        <v>33</v>
      </c>
      <c r="H494">
        <v>882200</v>
      </c>
      <c r="I494">
        <v>0</v>
      </c>
      <c r="J494" t="s">
        <v>18</v>
      </c>
      <c r="K494" t="s">
        <v>19</v>
      </c>
      <c r="L494">
        <v>3</v>
      </c>
    </row>
    <row r="495" spans="1:12" x14ac:dyDescent="0.25">
      <c r="A495" t="s">
        <v>938</v>
      </c>
      <c r="B495" t="s">
        <v>939</v>
      </c>
      <c r="C495">
        <v>33</v>
      </c>
      <c r="D495" t="s">
        <v>14</v>
      </c>
      <c r="E495" t="s">
        <v>15</v>
      </c>
      <c r="F495" t="s">
        <v>74</v>
      </c>
      <c r="G495" t="s">
        <v>251</v>
      </c>
      <c r="H495">
        <v>1260755</v>
      </c>
      <c r="I495">
        <v>11</v>
      </c>
      <c r="J495" t="s">
        <v>42</v>
      </c>
      <c r="K495" t="s">
        <v>19</v>
      </c>
      <c r="L495">
        <v>5</v>
      </c>
    </row>
    <row r="496" spans="1:12" x14ac:dyDescent="0.25">
      <c r="A496" t="s">
        <v>940</v>
      </c>
      <c r="B496" t="s">
        <v>941</v>
      </c>
      <c r="C496">
        <v>46</v>
      </c>
      <c r="D496" t="s">
        <v>14</v>
      </c>
      <c r="E496" t="s">
        <v>61</v>
      </c>
      <c r="F496" t="s">
        <v>66</v>
      </c>
      <c r="G496" t="s">
        <v>198</v>
      </c>
      <c r="H496">
        <v>1111080</v>
      </c>
      <c r="I496">
        <v>15</v>
      </c>
      <c r="J496" t="s">
        <v>71</v>
      </c>
      <c r="K496" t="s">
        <v>19</v>
      </c>
      <c r="L496">
        <v>2</v>
      </c>
    </row>
    <row r="497" spans="1:12" x14ac:dyDescent="0.25">
      <c r="A497" t="s">
        <v>942</v>
      </c>
      <c r="B497" t="s">
        <v>599</v>
      </c>
      <c r="C497">
        <v>37</v>
      </c>
      <c r="D497" t="s">
        <v>14</v>
      </c>
      <c r="E497" t="s">
        <v>23</v>
      </c>
      <c r="F497" t="s">
        <v>40</v>
      </c>
      <c r="G497" t="s">
        <v>98</v>
      </c>
      <c r="H497">
        <v>1057045</v>
      </c>
      <c r="I497">
        <v>8</v>
      </c>
      <c r="J497" t="s">
        <v>18</v>
      </c>
      <c r="K497" t="s">
        <v>25</v>
      </c>
      <c r="L497">
        <v>5</v>
      </c>
    </row>
    <row r="498" spans="1:12" x14ac:dyDescent="0.25">
      <c r="A498" t="s">
        <v>943</v>
      </c>
      <c r="B498" t="s">
        <v>944</v>
      </c>
      <c r="C498">
        <v>29</v>
      </c>
      <c r="D498" t="s">
        <v>22</v>
      </c>
      <c r="E498" t="s">
        <v>31</v>
      </c>
      <c r="F498" t="s">
        <v>32</v>
      </c>
      <c r="G498" t="s">
        <v>79</v>
      </c>
      <c r="H498">
        <v>1057283</v>
      </c>
      <c r="I498">
        <v>1</v>
      </c>
      <c r="J498" t="s">
        <v>18</v>
      </c>
      <c r="K498" t="s">
        <v>25</v>
      </c>
      <c r="L498">
        <v>3</v>
      </c>
    </row>
    <row r="499" spans="1:12" x14ac:dyDescent="0.25">
      <c r="A499" t="s">
        <v>945</v>
      </c>
      <c r="B499" t="s">
        <v>193</v>
      </c>
      <c r="C499">
        <v>44</v>
      </c>
      <c r="D499" t="s">
        <v>14</v>
      </c>
      <c r="E499" t="s">
        <v>39</v>
      </c>
      <c r="F499" t="s">
        <v>16</v>
      </c>
      <c r="G499" t="s">
        <v>51</v>
      </c>
      <c r="H499">
        <v>1348630</v>
      </c>
      <c r="I499">
        <v>9</v>
      </c>
      <c r="J499" t="s">
        <v>71</v>
      </c>
      <c r="K499" t="s">
        <v>25</v>
      </c>
      <c r="L499">
        <v>3</v>
      </c>
    </row>
    <row r="500" spans="1:12" x14ac:dyDescent="0.25">
      <c r="A500" t="s">
        <v>946</v>
      </c>
      <c r="B500" t="s">
        <v>947</v>
      </c>
      <c r="C500">
        <v>22</v>
      </c>
      <c r="D500" t="s">
        <v>14</v>
      </c>
      <c r="E500" t="s">
        <v>28</v>
      </c>
      <c r="F500" t="s">
        <v>16</v>
      </c>
      <c r="G500" t="s">
        <v>126</v>
      </c>
      <c r="H500">
        <v>855867</v>
      </c>
      <c r="I500">
        <v>0</v>
      </c>
      <c r="J500" t="s">
        <v>18</v>
      </c>
      <c r="K500" t="s">
        <v>25</v>
      </c>
      <c r="L500">
        <v>3</v>
      </c>
    </row>
    <row r="501" spans="1:12" x14ac:dyDescent="0.25">
      <c r="A501" t="s">
        <v>948</v>
      </c>
      <c r="B501" t="s">
        <v>769</v>
      </c>
      <c r="C501">
        <v>39</v>
      </c>
      <c r="D501" t="s">
        <v>22</v>
      </c>
      <c r="E501" t="s">
        <v>31</v>
      </c>
      <c r="F501" t="s">
        <v>40</v>
      </c>
      <c r="G501" t="s">
        <v>82</v>
      </c>
      <c r="H501">
        <v>972899</v>
      </c>
      <c r="I501">
        <v>9</v>
      </c>
      <c r="J501" t="s">
        <v>36</v>
      </c>
      <c r="K501" t="s">
        <v>25</v>
      </c>
      <c r="L5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DAAE-2514-4E94-B7BF-8CC57553B682}">
  <dimension ref="A1:M501"/>
  <sheetViews>
    <sheetView zoomScaleNormal="100" workbookViewId="0">
      <selection activeCell="W50" sqref="W50"/>
    </sheetView>
  </sheetViews>
  <sheetFormatPr defaultRowHeight="15" x14ac:dyDescent="0.25"/>
  <cols>
    <col min="1" max="1" width="12.140625" bestFit="1" customWidth="1"/>
    <col min="2" max="2" width="4.42578125" bestFit="1" customWidth="1"/>
    <col min="3" max="3" width="8" bestFit="1" customWidth="1"/>
    <col min="4" max="4" width="16.140625" bestFit="1" customWidth="1"/>
    <col min="5" max="5" width="8.5703125" bestFit="1" customWidth="1"/>
    <col min="6" max="6" width="18.7109375" bestFit="1" customWidth="1"/>
    <col min="7" max="7" width="23.85546875" bestFit="1" customWidth="1"/>
    <col min="8" max="8" width="11.7109375" bestFit="1" customWidth="1"/>
    <col min="9" max="9" width="7.7109375" bestFit="1" customWidth="1"/>
    <col min="10" max="10" width="10.42578125" bestFit="1" customWidth="1"/>
    <col min="11" max="11" width="11.7109375" bestFit="1" customWidth="1"/>
    <col min="12" max="12" width="15.85546875" bestFit="1" customWidth="1"/>
    <col min="13" max="13" width="12.5703125" bestFit="1" customWidth="1"/>
  </cols>
  <sheetData>
    <row r="1" spans="1:13" x14ac:dyDescent="0.25">
      <c r="A1" s="19" t="s">
        <v>0</v>
      </c>
      <c r="B1" s="19" t="s">
        <v>2</v>
      </c>
      <c r="C1" s="19" t="s">
        <v>7</v>
      </c>
      <c r="D1" s="19" t="s">
        <v>956</v>
      </c>
      <c r="E1" s="19" t="s">
        <v>10</v>
      </c>
      <c r="F1" s="19" t="s">
        <v>11</v>
      </c>
      <c r="G1" s="19" t="s">
        <v>5</v>
      </c>
      <c r="H1" s="19" t="s">
        <v>4</v>
      </c>
      <c r="I1" s="19" t="s">
        <v>3</v>
      </c>
      <c r="J1" s="19" t="s">
        <v>952</v>
      </c>
      <c r="K1" s="19" t="s">
        <v>953</v>
      </c>
      <c r="L1" s="20" t="s">
        <v>954</v>
      </c>
      <c r="M1" s="19" t="s">
        <v>955</v>
      </c>
    </row>
    <row r="2" spans="1:13" x14ac:dyDescent="0.25">
      <c r="A2" t="s">
        <v>12</v>
      </c>
      <c r="B2">
        <v>24</v>
      </c>
      <c r="C2">
        <v>915113</v>
      </c>
      <c r="D2">
        <v>2</v>
      </c>
      <c r="E2" t="s">
        <v>19</v>
      </c>
      <c r="F2">
        <v>3</v>
      </c>
      <c r="G2" t="s">
        <v>16</v>
      </c>
      <c r="H2" t="s">
        <v>15</v>
      </c>
      <c r="I2" t="s">
        <v>14</v>
      </c>
      <c r="J2" t="str">
        <f>IF(B2&lt;25,"21-24",
IF(B2&lt;30,"25-29",
IF(B2&lt;40,"30-39",
IF(B2&lt;50,"40-49","50+"))))</f>
        <v>21-24</v>
      </c>
      <c r="K2" t="str">
        <f>IF(C2&lt;500000,"Below 5 LPA",
IF(C2&lt;1000000,"5-10 LPA",
IF(C2&lt;1500000,"10-15 LPA","15+ LPA")))</f>
        <v>5-10 LPA</v>
      </c>
      <c r="L2" t="str">
        <f>IF(D2&lt;=2,"0-2 Years",
IF(D2&lt;=5,"3-5 Years",
IF(D2&lt;=10,"6-10 Years","10+ Years")))</f>
        <v>0-2 Years</v>
      </c>
      <c r="M2">
        <f>IF(E2="Yes",1,0)</f>
        <v>1</v>
      </c>
    </row>
    <row r="3" spans="1:13" x14ac:dyDescent="0.25">
      <c r="A3" t="s">
        <v>20</v>
      </c>
      <c r="B3">
        <v>39</v>
      </c>
      <c r="C3">
        <v>1058830</v>
      </c>
      <c r="D3">
        <v>8</v>
      </c>
      <c r="E3" t="s">
        <v>25</v>
      </c>
      <c r="F3">
        <v>3</v>
      </c>
      <c r="G3" t="s">
        <v>16</v>
      </c>
      <c r="H3" t="s">
        <v>23</v>
      </c>
      <c r="I3" t="s">
        <v>22</v>
      </c>
      <c r="J3" t="str">
        <f t="shared" ref="J3:J66" si="0">IF(B3&lt;25,"21-24",
IF(B3&lt;30,"25-29",
IF(B3&lt;40,"30-39",
IF(B3&lt;50,"40-49","50+"))))</f>
        <v>30-39</v>
      </c>
      <c r="K3" t="str">
        <f t="shared" ref="K3:K66" si="1">IF(C3&lt;500000,"Below 5 LPA",
IF(C3&lt;1000000,"5-10 LPA",
IF(C3&lt;1500000,"10-15 LPA","15+ LPA")))</f>
        <v>10-15 LPA</v>
      </c>
      <c r="L3" t="str">
        <f t="shared" ref="L3:L66" si="2">IF(D3&lt;=2,"0-2 Years",
IF(D3&lt;=5,"3-5 Years",
IF(D3&lt;=10,"6-10 Years","10+ Years")))</f>
        <v>6-10 Years</v>
      </c>
      <c r="M3">
        <f t="shared" ref="M3:M66" si="3">IF(E3="Yes",1,0)</f>
        <v>0</v>
      </c>
    </row>
    <row r="4" spans="1:13" x14ac:dyDescent="0.25">
      <c r="A4" t="s">
        <v>26</v>
      </c>
      <c r="B4">
        <v>37</v>
      </c>
      <c r="C4">
        <v>916699</v>
      </c>
      <c r="D4">
        <v>4</v>
      </c>
      <c r="E4" t="s">
        <v>25</v>
      </c>
      <c r="F4">
        <v>4</v>
      </c>
      <c r="G4" t="s">
        <v>16</v>
      </c>
      <c r="H4" t="s">
        <v>28</v>
      </c>
      <c r="I4" t="s">
        <v>14</v>
      </c>
      <c r="J4" t="str">
        <f t="shared" si="0"/>
        <v>30-39</v>
      </c>
      <c r="K4" t="str">
        <f t="shared" si="1"/>
        <v>5-10 LPA</v>
      </c>
      <c r="L4" t="str">
        <f t="shared" si="2"/>
        <v>3-5 Years</v>
      </c>
      <c r="M4">
        <f t="shared" si="3"/>
        <v>0</v>
      </c>
    </row>
    <row r="5" spans="1:13" x14ac:dyDescent="0.25">
      <c r="A5" t="s">
        <v>29</v>
      </c>
      <c r="B5">
        <v>21</v>
      </c>
      <c r="C5">
        <v>909983</v>
      </c>
      <c r="D5">
        <v>0</v>
      </c>
      <c r="E5" t="s">
        <v>25</v>
      </c>
      <c r="F5">
        <v>2</v>
      </c>
      <c r="G5" t="s">
        <v>32</v>
      </c>
      <c r="H5" t="s">
        <v>31</v>
      </c>
      <c r="I5" t="s">
        <v>14</v>
      </c>
      <c r="J5" t="str">
        <f t="shared" si="0"/>
        <v>21-24</v>
      </c>
      <c r="K5" t="str">
        <f t="shared" si="1"/>
        <v>5-10 LPA</v>
      </c>
      <c r="L5" t="str">
        <f t="shared" si="2"/>
        <v>0-2 Years</v>
      </c>
      <c r="M5">
        <f t="shared" si="3"/>
        <v>0</v>
      </c>
    </row>
    <row r="6" spans="1:13" x14ac:dyDescent="0.25">
      <c r="A6" t="s">
        <v>34</v>
      </c>
      <c r="B6">
        <v>27</v>
      </c>
      <c r="C6">
        <v>1078060</v>
      </c>
      <c r="D6">
        <v>6</v>
      </c>
      <c r="E6" t="s">
        <v>19</v>
      </c>
      <c r="F6">
        <v>3</v>
      </c>
      <c r="G6" t="s">
        <v>16</v>
      </c>
      <c r="H6" t="s">
        <v>31</v>
      </c>
      <c r="I6" t="s">
        <v>22</v>
      </c>
      <c r="J6" t="str">
        <f t="shared" si="0"/>
        <v>25-29</v>
      </c>
      <c r="K6" t="str">
        <f t="shared" si="1"/>
        <v>10-15 LPA</v>
      </c>
      <c r="L6" t="str">
        <f t="shared" si="2"/>
        <v>6-10 Years</v>
      </c>
      <c r="M6">
        <f t="shared" si="3"/>
        <v>1</v>
      </c>
    </row>
    <row r="7" spans="1:13" x14ac:dyDescent="0.25">
      <c r="A7" t="s">
        <v>37</v>
      </c>
      <c r="B7">
        <v>30</v>
      </c>
      <c r="C7">
        <v>775124</v>
      </c>
      <c r="D7">
        <v>7</v>
      </c>
      <c r="E7" t="s">
        <v>25</v>
      </c>
      <c r="F7">
        <v>3</v>
      </c>
      <c r="G7" t="s">
        <v>40</v>
      </c>
      <c r="H7" t="s">
        <v>39</v>
      </c>
      <c r="I7" t="s">
        <v>22</v>
      </c>
      <c r="J7" t="str">
        <f t="shared" si="0"/>
        <v>30-39</v>
      </c>
      <c r="K7" t="str">
        <f t="shared" si="1"/>
        <v>5-10 LPA</v>
      </c>
      <c r="L7" t="str">
        <f t="shared" si="2"/>
        <v>6-10 Years</v>
      </c>
      <c r="M7">
        <f t="shared" si="3"/>
        <v>0</v>
      </c>
    </row>
    <row r="8" spans="1:13" x14ac:dyDescent="0.25">
      <c r="A8" t="s">
        <v>43</v>
      </c>
      <c r="B8">
        <v>33</v>
      </c>
      <c r="C8">
        <v>1489182</v>
      </c>
      <c r="D8">
        <v>9</v>
      </c>
      <c r="E8" t="s">
        <v>25</v>
      </c>
      <c r="F8">
        <v>3</v>
      </c>
      <c r="G8" t="s">
        <v>46</v>
      </c>
      <c r="H8" t="s">
        <v>45</v>
      </c>
      <c r="I8" t="s">
        <v>22</v>
      </c>
      <c r="J8" t="str">
        <f t="shared" si="0"/>
        <v>30-39</v>
      </c>
      <c r="K8" t="str">
        <f t="shared" si="1"/>
        <v>10-15 LPA</v>
      </c>
      <c r="L8" t="str">
        <f t="shared" si="2"/>
        <v>6-10 Years</v>
      </c>
      <c r="M8">
        <f t="shared" si="3"/>
        <v>0</v>
      </c>
    </row>
    <row r="9" spans="1:13" x14ac:dyDescent="0.25">
      <c r="A9" t="s">
        <v>48</v>
      </c>
      <c r="B9">
        <v>21</v>
      </c>
      <c r="C9">
        <v>981326</v>
      </c>
      <c r="D9">
        <v>0</v>
      </c>
      <c r="E9" t="s">
        <v>25</v>
      </c>
      <c r="F9">
        <v>2</v>
      </c>
      <c r="G9" t="s">
        <v>16</v>
      </c>
      <c r="H9" t="s">
        <v>50</v>
      </c>
      <c r="I9" t="s">
        <v>14</v>
      </c>
      <c r="J9" t="str">
        <f t="shared" si="0"/>
        <v>21-24</v>
      </c>
      <c r="K9" t="str">
        <f t="shared" si="1"/>
        <v>5-10 LPA</v>
      </c>
      <c r="L9" t="str">
        <f t="shared" si="2"/>
        <v>0-2 Years</v>
      </c>
      <c r="M9">
        <f t="shared" si="3"/>
        <v>0</v>
      </c>
    </row>
    <row r="10" spans="1:13" x14ac:dyDescent="0.25">
      <c r="A10" t="s">
        <v>52</v>
      </c>
      <c r="B10">
        <v>36</v>
      </c>
      <c r="C10">
        <v>1406355</v>
      </c>
      <c r="D10">
        <v>10</v>
      </c>
      <c r="E10" t="s">
        <v>25</v>
      </c>
      <c r="F10">
        <v>2</v>
      </c>
      <c r="G10" t="s">
        <v>54</v>
      </c>
      <c r="H10" t="s">
        <v>45</v>
      </c>
      <c r="I10" t="s">
        <v>22</v>
      </c>
      <c r="J10" t="str">
        <f t="shared" si="0"/>
        <v>30-39</v>
      </c>
      <c r="K10" t="str">
        <f t="shared" si="1"/>
        <v>10-15 LPA</v>
      </c>
      <c r="L10" t="str">
        <f t="shared" si="2"/>
        <v>6-10 Years</v>
      </c>
      <c r="M10">
        <f t="shared" si="3"/>
        <v>0</v>
      </c>
    </row>
    <row r="11" spans="1:13" x14ac:dyDescent="0.25">
      <c r="A11" t="s">
        <v>56</v>
      </c>
      <c r="B11">
        <v>27</v>
      </c>
      <c r="C11">
        <v>528290</v>
      </c>
      <c r="D11">
        <v>1</v>
      </c>
      <c r="E11" t="s">
        <v>25</v>
      </c>
      <c r="F11">
        <v>4</v>
      </c>
      <c r="G11" t="s">
        <v>40</v>
      </c>
      <c r="H11" t="s">
        <v>39</v>
      </c>
      <c r="I11" t="s">
        <v>22</v>
      </c>
      <c r="J11" t="str">
        <f t="shared" si="0"/>
        <v>25-29</v>
      </c>
      <c r="K11" t="str">
        <f t="shared" si="1"/>
        <v>5-10 LPA</v>
      </c>
      <c r="L11" t="str">
        <f t="shared" si="2"/>
        <v>0-2 Years</v>
      </c>
      <c r="M11">
        <f t="shared" si="3"/>
        <v>0</v>
      </c>
    </row>
    <row r="12" spans="1:13" x14ac:dyDescent="0.25">
      <c r="A12" t="s">
        <v>59</v>
      </c>
      <c r="B12">
        <v>24</v>
      </c>
      <c r="C12">
        <v>1154589</v>
      </c>
      <c r="D12">
        <v>1</v>
      </c>
      <c r="E12" t="s">
        <v>25</v>
      </c>
      <c r="F12">
        <v>3</v>
      </c>
      <c r="G12" t="s">
        <v>54</v>
      </c>
      <c r="H12" t="s">
        <v>61</v>
      </c>
      <c r="I12" t="s">
        <v>22</v>
      </c>
      <c r="J12" t="str">
        <f t="shared" si="0"/>
        <v>21-24</v>
      </c>
      <c r="K12" t="str">
        <f t="shared" si="1"/>
        <v>10-15 LPA</v>
      </c>
      <c r="L12" t="str">
        <f t="shared" si="2"/>
        <v>0-2 Years</v>
      </c>
      <c r="M12">
        <f t="shared" si="3"/>
        <v>0</v>
      </c>
    </row>
    <row r="13" spans="1:13" x14ac:dyDescent="0.25">
      <c r="A13" t="s">
        <v>62</v>
      </c>
      <c r="B13">
        <v>34</v>
      </c>
      <c r="C13">
        <v>858089</v>
      </c>
      <c r="D13">
        <v>7</v>
      </c>
      <c r="E13" t="s">
        <v>25</v>
      </c>
      <c r="F13">
        <v>4</v>
      </c>
      <c r="G13" t="s">
        <v>40</v>
      </c>
      <c r="H13" t="s">
        <v>31</v>
      </c>
      <c r="I13" t="s">
        <v>14</v>
      </c>
      <c r="J13" t="str">
        <f t="shared" si="0"/>
        <v>30-39</v>
      </c>
      <c r="K13" t="str">
        <f t="shared" si="1"/>
        <v>5-10 LPA</v>
      </c>
      <c r="L13" t="str">
        <f t="shared" si="2"/>
        <v>6-10 Years</v>
      </c>
      <c r="M13">
        <f t="shared" si="3"/>
        <v>0</v>
      </c>
    </row>
    <row r="14" spans="1:13" x14ac:dyDescent="0.25">
      <c r="A14" t="s">
        <v>64</v>
      </c>
      <c r="B14">
        <v>26</v>
      </c>
      <c r="C14">
        <v>875130</v>
      </c>
      <c r="D14">
        <v>4</v>
      </c>
      <c r="E14" t="s">
        <v>25</v>
      </c>
      <c r="F14">
        <v>4</v>
      </c>
      <c r="G14" t="s">
        <v>66</v>
      </c>
      <c r="H14" t="s">
        <v>50</v>
      </c>
      <c r="I14" t="s">
        <v>14</v>
      </c>
      <c r="J14" t="str">
        <f t="shared" si="0"/>
        <v>25-29</v>
      </c>
      <c r="K14" t="str">
        <f t="shared" si="1"/>
        <v>5-10 LPA</v>
      </c>
      <c r="L14" t="str">
        <f t="shared" si="2"/>
        <v>3-5 Years</v>
      </c>
      <c r="M14">
        <f t="shared" si="3"/>
        <v>0</v>
      </c>
    </row>
    <row r="15" spans="1:13" x14ac:dyDescent="0.25">
      <c r="A15" t="s">
        <v>68</v>
      </c>
      <c r="B15">
        <v>40</v>
      </c>
      <c r="C15">
        <v>1037178</v>
      </c>
      <c r="D15">
        <v>10</v>
      </c>
      <c r="E15" t="s">
        <v>19</v>
      </c>
      <c r="F15">
        <v>3</v>
      </c>
      <c r="G15" t="s">
        <v>54</v>
      </c>
      <c r="H15" t="s">
        <v>50</v>
      </c>
      <c r="I15" t="s">
        <v>14</v>
      </c>
      <c r="J15" t="str">
        <f t="shared" si="0"/>
        <v>40-49</v>
      </c>
      <c r="K15" t="str">
        <f t="shared" si="1"/>
        <v>10-15 LPA</v>
      </c>
      <c r="L15" t="str">
        <f t="shared" si="2"/>
        <v>6-10 Years</v>
      </c>
      <c r="M15">
        <f t="shared" si="3"/>
        <v>1</v>
      </c>
    </row>
    <row r="16" spans="1:13" x14ac:dyDescent="0.25">
      <c r="A16" t="s">
        <v>72</v>
      </c>
      <c r="B16">
        <v>40</v>
      </c>
      <c r="C16">
        <v>691034</v>
      </c>
      <c r="D16">
        <v>9</v>
      </c>
      <c r="E16" t="s">
        <v>19</v>
      </c>
      <c r="F16">
        <v>3</v>
      </c>
      <c r="G16" t="s">
        <v>74</v>
      </c>
      <c r="H16" t="s">
        <v>23</v>
      </c>
      <c r="I16" t="s">
        <v>14</v>
      </c>
      <c r="J16" t="str">
        <f t="shared" si="0"/>
        <v>40-49</v>
      </c>
      <c r="K16" t="str">
        <f t="shared" si="1"/>
        <v>5-10 LPA</v>
      </c>
      <c r="L16" t="str">
        <f t="shared" si="2"/>
        <v>6-10 Years</v>
      </c>
      <c r="M16">
        <f t="shared" si="3"/>
        <v>1</v>
      </c>
    </row>
    <row r="17" spans="1:13" x14ac:dyDescent="0.25">
      <c r="A17" t="s">
        <v>76</v>
      </c>
      <c r="B17">
        <v>34</v>
      </c>
      <c r="C17">
        <v>1488864</v>
      </c>
      <c r="D17">
        <v>6</v>
      </c>
      <c r="E17" t="s">
        <v>25</v>
      </c>
      <c r="F17">
        <v>3</v>
      </c>
      <c r="G17" t="s">
        <v>32</v>
      </c>
      <c r="H17" t="s">
        <v>78</v>
      </c>
      <c r="I17" t="s">
        <v>14</v>
      </c>
      <c r="J17" t="str">
        <f t="shared" si="0"/>
        <v>30-39</v>
      </c>
      <c r="K17" t="str">
        <f t="shared" si="1"/>
        <v>10-15 LPA</v>
      </c>
      <c r="L17" t="str">
        <f t="shared" si="2"/>
        <v>6-10 Years</v>
      </c>
      <c r="M17">
        <f t="shared" si="3"/>
        <v>0</v>
      </c>
    </row>
    <row r="18" spans="1:13" x14ac:dyDescent="0.25">
      <c r="A18" t="s">
        <v>80</v>
      </c>
      <c r="B18">
        <v>31</v>
      </c>
      <c r="C18">
        <v>509211</v>
      </c>
      <c r="D18">
        <v>0</v>
      </c>
      <c r="E18" t="s">
        <v>19</v>
      </c>
      <c r="F18">
        <v>3</v>
      </c>
      <c r="G18" t="s">
        <v>40</v>
      </c>
      <c r="H18" t="s">
        <v>50</v>
      </c>
      <c r="I18" t="s">
        <v>22</v>
      </c>
      <c r="J18" t="str">
        <f t="shared" si="0"/>
        <v>30-39</v>
      </c>
      <c r="K18" t="str">
        <f t="shared" si="1"/>
        <v>5-10 LPA</v>
      </c>
      <c r="L18" t="str">
        <f t="shared" si="2"/>
        <v>0-2 Years</v>
      </c>
      <c r="M18">
        <f t="shared" si="3"/>
        <v>1</v>
      </c>
    </row>
    <row r="19" spans="1:13" x14ac:dyDescent="0.25">
      <c r="A19" t="s">
        <v>83</v>
      </c>
      <c r="B19">
        <v>28</v>
      </c>
      <c r="C19">
        <v>1272139</v>
      </c>
      <c r="D19">
        <v>3</v>
      </c>
      <c r="E19" t="s">
        <v>25</v>
      </c>
      <c r="F19">
        <v>5</v>
      </c>
      <c r="G19" t="s">
        <v>16</v>
      </c>
      <c r="H19" t="s">
        <v>85</v>
      </c>
      <c r="I19" t="s">
        <v>14</v>
      </c>
      <c r="J19" t="str">
        <f t="shared" si="0"/>
        <v>25-29</v>
      </c>
      <c r="K19" t="str">
        <f t="shared" si="1"/>
        <v>10-15 LPA</v>
      </c>
      <c r="L19" t="str">
        <f t="shared" si="2"/>
        <v>3-5 Years</v>
      </c>
      <c r="M19">
        <f t="shared" si="3"/>
        <v>0</v>
      </c>
    </row>
    <row r="20" spans="1:13" x14ac:dyDescent="0.25">
      <c r="A20" t="s">
        <v>86</v>
      </c>
      <c r="B20">
        <v>26</v>
      </c>
      <c r="C20">
        <v>1026468</v>
      </c>
      <c r="D20">
        <v>5</v>
      </c>
      <c r="E20" t="s">
        <v>19</v>
      </c>
      <c r="F20">
        <v>3</v>
      </c>
      <c r="G20" t="s">
        <v>54</v>
      </c>
      <c r="H20" t="s">
        <v>45</v>
      </c>
      <c r="I20" t="s">
        <v>22</v>
      </c>
      <c r="J20" t="str">
        <f t="shared" si="0"/>
        <v>25-29</v>
      </c>
      <c r="K20" t="str">
        <f t="shared" si="1"/>
        <v>10-15 LPA</v>
      </c>
      <c r="L20" t="str">
        <f t="shared" si="2"/>
        <v>3-5 Years</v>
      </c>
      <c r="M20">
        <f t="shared" si="3"/>
        <v>1</v>
      </c>
    </row>
    <row r="21" spans="1:13" x14ac:dyDescent="0.25">
      <c r="A21" t="s">
        <v>89</v>
      </c>
      <c r="B21">
        <v>41</v>
      </c>
      <c r="C21">
        <v>1029033</v>
      </c>
      <c r="D21">
        <v>8</v>
      </c>
      <c r="E21" t="s">
        <v>19</v>
      </c>
      <c r="F21">
        <v>3</v>
      </c>
      <c r="G21" t="s">
        <v>66</v>
      </c>
      <c r="H21" t="s">
        <v>78</v>
      </c>
      <c r="I21" t="s">
        <v>22</v>
      </c>
      <c r="J21" t="str">
        <f t="shared" si="0"/>
        <v>40-49</v>
      </c>
      <c r="K21" t="str">
        <f t="shared" si="1"/>
        <v>10-15 LPA</v>
      </c>
      <c r="L21" t="str">
        <f t="shared" si="2"/>
        <v>6-10 Years</v>
      </c>
      <c r="M21">
        <f t="shared" si="3"/>
        <v>1</v>
      </c>
    </row>
    <row r="22" spans="1:13" x14ac:dyDescent="0.25">
      <c r="A22" t="s">
        <v>91</v>
      </c>
      <c r="B22">
        <v>36</v>
      </c>
      <c r="C22">
        <v>1135849</v>
      </c>
      <c r="D22">
        <v>4</v>
      </c>
      <c r="E22" t="s">
        <v>25</v>
      </c>
      <c r="F22">
        <v>2</v>
      </c>
      <c r="G22" t="s">
        <v>16</v>
      </c>
      <c r="H22" t="s">
        <v>78</v>
      </c>
      <c r="I22" t="s">
        <v>14</v>
      </c>
      <c r="J22" t="str">
        <f t="shared" si="0"/>
        <v>30-39</v>
      </c>
      <c r="K22" t="str">
        <f t="shared" si="1"/>
        <v>10-15 LPA</v>
      </c>
      <c r="L22" t="str">
        <f t="shared" si="2"/>
        <v>3-5 Years</v>
      </c>
      <c r="M22">
        <f t="shared" si="3"/>
        <v>0</v>
      </c>
    </row>
    <row r="23" spans="1:13" x14ac:dyDescent="0.25">
      <c r="A23" t="s">
        <v>93</v>
      </c>
      <c r="B23">
        <v>30</v>
      </c>
      <c r="C23">
        <v>951222</v>
      </c>
      <c r="D23">
        <v>7</v>
      </c>
      <c r="E23" t="s">
        <v>25</v>
      </c>
      <c r="F23">
        <v>3</v>
      </c>
      <c r="G23" t="s">
        <v>74</v>
      </c>
      <c r="H23" t="s">
        <v>50</v>
      </c>
      <c r="I23" t="s">
        <v>14</v>
      </c>
      <c r="J23" t="str">
        <f t="shared" si="0"/>
        <v>30-39</v>
      </c>
      <c r="K23" t="str">
        <f t="shared" si="1"/>
        <v>5-10 LPA</v>
      </c>
      <c r="L23" t="str">
        <f t="shared" si="2"/>
        <v>6-10 Years</v>
      </c>
      <c r="M23">
        <f t="shared" si="3"/>
        <v>0</v>
      </c>
    </row>
    <row r="24" spans="1:13" x14ac:dyDescent="0.25">
      <c r="A24" t="s">
        <v>96</v>
      </c>
      <c r="B24">
        <v>21</v>
      </c>
      <c r="C24">
        <v>948087</v>
      </c>
      <c r="D24">
        <v>0</v>
      </c>
      <c r="E24" t="s">
        <v>19</v>
      </c>
      <c r="F24">
        <v>2</v>
      </c>
      <c r="G24" t="s">
        <v>40</v>
      </c>
      <c r="H24" t="s">
        <v>61</v>
      </c>
      <c r="I24" t="s">
        <v>14</v>
      </c>
      <c r="J24" t="str">
        <f t="shared" si="0"/>
        <v>21-24</v>
      </c>
      <c r="K24" t="str">
        <f t="shared" si="1"/>
        <v>5-10 LPA</v>
      </c>
      <c r="L24" t="str">
        <f t="shared" si="2"/>
        <v>0-2 Years</v>
      </c>
      <c r="M24">
        <f t="shared" si="3"/>
        <v>1</v>
      </c>
    </row>
    <row r="25" spans="1:13" x14ac:dyDescent="0.25">
      <c r="A25" t="s">
        <v>99</v>
      </c>
      <c r="B25">
        <v>40</v>
      </c>
      <c r="C25">
        <v>1272708</v>
      </c>
      <c r="D25">
        <v>11</v>
      </c>
      <c r="E25" t="s">
        <v>25</v>
      </c>
      <c r="F25">
        <v>3</v>
      </c>
      <c r="G25" t="s">
        <v>66</v>
      </c>
      <c r="H25" t="s">
        <v>15</v>
      </c>
      <c r="I25" t="s">
        <v>22</v>
      </c>
      <c r="J25" t="str">
        <f t="shared" si="0"/>
        <v>40-49</v>
      </c>
      <c r="K25" t="str">
        <f t="shared" si="1"/>
        <v>10-15 LPA</v>
      </c>
      <c r="L25" t="str">
        <f t="shared" si="2"/>
        <v>10+ Years</v>
      </c>
      <c r="M25">
        <f t="shared" si="3"/>
        <v>0</v>
      </c>
    </row>
    <row r="26" spans="1:13" x14ac:dyDescent="0.25">
      <c r="A26" t="s">
        <v>102</v>
      </c>
      <c r="B26">
        <v>37</v>
      </c>
      <c r="C26">
        <v>794297</v>
      </c>
      <c r="D26">
        <v>5</v>
      </c>
      <c r="E26" t="s">
        <v>25</v>
      </c>
      <c r="F26">
        <v>4</v>
      </c>
      <c r="G26" t="s">
        <v>40</v>
      </c>
      <c r="H26" t="s">
        <v>31</v>
      </c>
      <c r="I26" t="s">
        <v>22</v>
      </c>
      <c r="J26" t="str">
        <f t="shared" si="0"/>
        <v>30-39</v>
      </c>
      <c r="K26" t="str">
        <f t="shared" si="1"/>
        <v>5-10 LPA</v>
      </c>
      <c r="L26" t="str">
        <f t="shared" si="2"/>
        <v>3-5 Years</v>
      </c>
      <c r="M26">
        <f t="shared" si="3"/>
        <v>0</v>
      </c>
    </row>
    <row r="27" spans="1:13" x14ac:dyDescent="0.25">
      <c r="A27" t="s">
        <v>104</v>
      </c>
      <c r="B27">
        <v>40</v>
      </c>
      <c r="C27">
        <v>1129663</v>
      </c>
      <c r="D27">
        <v>9</v>
      </c>
      <c r="E27" t="s">
        <v>25</v>
      </c>
      <c r="F27">
        <v>5</v>
      </c>
      <c r="G27" t="s">
        <v>40</v>
      </c>
      <c r="H27" t="s">
        <v>45</v>
      </c>
      <c r="I27" t="s">
        <v>14</v>
      </c>
      <c r="J27" t="str">
        <f t="shared" si="0"/>
        <v>40-49</v>
      </c>
      <c r="K27" t="str">
        <f t="shared" si="1"/>
        <v>10-15 LPA</v>
      </c>
      <c r="L27" t="str">
        <f t="shared" si="2"/>
        <v>6-10 Years</v>
      </c>
      <c r="M27">
        <f t="shared" si="3"/>
        <v>0</v>
      </c>
    </row>
    <row r="28" spans="1:13" x14ac:dyDescent="0.25">
      <c r="A28" t="s">
        <v>106</v>
      </c>
      <c r="B28">
        <v>40</v>
      </c>
      <c r="C28">
        <v>1595923</v>
      </c>
      <c r="D28">
        <v>12</v>
      </c>
      <c r="E28" t="s">
        <v>25</v>
      </c>
      <c r="F28">
        <v>4</v>
      </c>
      <c r="G28" t="s">
        <v>32</v>
      </c>
      <c r="H28" t="s">
        <v>31</v>
      </c>
      <c r="I28" t="s">
        <v>22</v>
      </c>
      <c r="J28" t="str">
        <f t="shared" si="0"/>
        <v>40-49</v>
      </c>
      <c r="K28" t="str">
        <f t="shared" si="1"/>
        <v>15+ LPA</v>
      </c>
      <c r="L28" t="str">
        <f t="shared" si="2"/>
        <v>10+ Years</v>
      </c>
      <c r="M28">
        <f t="shared" si="3"/>
        <v>0</v>
      </c>
    </row>
    <row r="29" spans="1:13" x14ac:dyDescent="0.25">
      <c r="A29" t="s">
        <v>108</v>
      </c>
      <c r="B29">
        <v>31</v>
      </c>
      <c r="C29">
        <v>1618422</v>
      </c>
      <c r="D29">
        <v>2</v>
      </c>
      <c r="E29" t="s">
        <v>25</v>
      </c>
      <c r="F29">
        <v>4</v>
      </c>
      <c r="G29" t="s">
        <v>46</v>
      </c>
      <c r="H29" t="s">
        <v>23</v>
      </c>
      <c r="I29" t="s">
        <v>14</v>
      </c>
      <c r="J29" t="str">
        <f t="shared" si="0"/>
        <v>30-39</v>
      </c>
      <c r="K29" t="str">
        <f t="shared" si="1"/>
        <v>15+ LPA</v>
      </c>
      <c r="L29" t="str">
        <f t="shared" si="2"/>
        <v>0-2 Years</v>
      </c>
      <c r="M29">
        <f t="shared" si="3"/>
        <v>0</v>
      </c>
    </row>
    <row r="30" spans="1:13" x14ac:dyDescent="0.25">
      <c r="A30" t="s">
        <v>111</v>
      </c>
      <c r="B30">
        <v>31</v>
      </c>
      <c r="C30">
        <v>1174278</v>
      </c>
      <c r="D30">
        <v>7</v>
      </c>
      <c r="E30" t="s">
        <v>25</v>
      </c>
      <c r="F30">
        <v>3</v>
      </c>
      <c r="G30" t="s">
        <v>46</v>
      </c>
      <c r="H30" t="s">
        <v>45</v>
      </c>
      <c r="I30" t="s">
        <v>14</v>
      </c>
      <c r="J30" t="str">
        <f t="shared" si="0"/>
        <v>30-39</v>
      </c>
      <c r="K30" t="str">
        <f t="shared" si="1"/>
        <v>10-15 LPA</v>
      </c>
      <c r="L30" t="str">
        <f t="shared" si="2"/>
        <v>6-10 Years</v>
      </c>
      <c r="M30">
        <f t="shared" si="3"/>
        <v>0</v>
      </c>
    </row>
    <row r="31" spans="1:13" x14ac:dyDescent="0.25">
      <c r="A31" t="s">
        <v>114</v>
      </c>
      <c r="B31">
        <v>37</v>
      </c>
      <c r="C31">
        <v>1537883</v>
      </c>
      <c r="D31">
        <v>9</v>
      </c>
      <c r="E31" t="s">
        <v>19</v>
      </c>
      <c r="F31">
        <v>3</v>
      </c>
      <c r="G31" t="s">
        <v>46</v>
      </c>
      <c r="H31" t="s">
        <v>39</v>
      </c>
      <c r="I31" t="s">
        <v>14</v>
      </c>
      <c r="J31" t="str">
        <f t="shared" si="0"/>
        <v>30-39</v>
      </c>
      <c r="K31" t="str">
        <f t="shared" si="1"/>
        <v>15+ LPA</v>
      </c>
      <c r="L31" t="str">
        <f t="shared" si="2"/>
        <v>6-10 Years</v>
      </c>
      <c r="M31">
        <f t="shared" si="3"/>
        <v>1</v>
      </c>
    </row>
    <row r="32" spans="1:13" x14ac:dyDescent="0.25">
      <c r="A32" t="s">
        <v>117</v>
      </c>
      <c r="B32">
        <v>39</v>
      </c>
      <c r="C32">
        <v>1013689</v>
      </c>
      <c r="D32">
        <v>10</v>
      </c>
      <c r="E32" t="s">
        <v>25</v>
      </c>
      <c r="F32">
        <v>3</v>
      </c>
      <c r="G32" t="s">
        <v>54</v>
      </c>
      <c r="H32" t="s">
        <v>28</v>
      </c>
      <c r="I32" t="s">
        <v>22</v>
      </c>
      <c r="J32" t="str">
        <f t="shared" si="0"/>
        <v>30-39</v>
      </c>
      <c r="K32" t="str">
        <f t="shared" si="1"/>
        <v>10-15 LPA</v>
      </c>
      <c r="L32" t="str">
        <f t="shared" si="2"/>
        <v>6-10 Years</v>
      </c>
      <c r="M32">
        <f t="shared" si="3"/>
        <v>0</v>
      </c>
    </row>
    <row r="33" spans="1:13" x14ac:dyDescent="0.25">
      <c r="A33" t="s">
        <v>120</v>
      </c>
      <c r="B33">
        <v>41</v>
      </c>
      <c r="C33">
        <v>1506745</v>
      </c>
      <c r="D33">
        <v>12</v>
      </c>
      <c r="E33" t="s">
        <v>25</v>
      </c>
      <c r="F33">
        <v>3</v>
      </c>
      <c r="G33" t="s">
        <v>54</v>
      </c>
      <c r="H33" t="s">
        <v>78</v>
      </c>
      <c r="I33" t="s">
        <v>22</v>
      </c>
      <c r="J33" t="str">
        <f t="shared" si="0"/>
        <v>40-49</v>
      </c>
      <c r="K33" t="str">
        <f t="shared" si="1"/>
        <v>15+ LPA</v>
      </c>
      <c r="L33" t="str">
        <f t="shared" si="2"/>
        <v>10+ Years</v>
      </c>
      <c r="M33">
        <f t="shared" si="3"/>
        <v>0</v>
      </c>
    </row>
    <row r="34" spans="1:13" x14ac:dyDescent="0.25">
      <c r="A34" t="s">
        <v>122</v>
      </c>
      <c r="B34">
        <v>23</v>
      </c>
      <c r="C34">
        <v>866432</v>
      </c>
      <c r="D34">
        <v>0</v>
      </c>
      <c r="E34" t="s">
        <v>19</v>
      </c>
      <c r="F34">
        <v>3</v>
      </c>
      <c r="G34" t="s">
        <v>16</v>
      </c>
      <c r="H34" t="s">
        <v>85</v>
      </c>
      <c r="I34" t="s">
        <v>22</v>
      </c>
      <c r="J34" t="str">
        <f t="shared" si="0"/>
        <v>21-24</v>
      </c>
      <c r="K34" t="str">
        <f t="shared" si="1"/>
        <v>5-10 LPA</v>
      </c>
      <c r="L34" t="str">
        <f t="shared" si="2"/>
        <v>0-2 Years</v>
      </c>
      <c r="M34">
        <f t="shared" si="3"/>
        <v>1</v>
      </c>
    </row>
    <row r="35" spans="1:13" x14ac:dyDescent="0.25">
      <c r="A35" t="s">
        <v>124</v>
      </c>
      <c r="B35">
        <v>28</v>
      </c>
      <c r="C35">
        <v>1058005</v>
      </c>
      <c r="D35">
        <v>2</v>
      </c>
      <c r="E35" t="s">
        <v>25</v>
      </c>
      <c r="F35">
        <v>4</v>
      </c>
      <c r="G35" t="s">
        <v>16</v>
      </c>
      <c r="H35" t="s">
        <v>15</v>
      </c>
      <c r="I35" t="s">
        <v>22</v>
      </c>
      <c r="J35" t="str">
        <f t="shared" si="0"/>
        <v>25-29</v>
      </c>
      <c r="K35" t="str">
        <f t="shared" si="1"/>
        <v>10-15 LPA</v>
      </c>
      <c r="L35" t="str">
        <f t="shared" si="2"/>
        <v>0-2 Years</v>
      </c>
      <c r="M35">
        <f t="shared" si="3"/>
        <v>0</v>
      </c>
    </row>
    <row r="36" spans="1:13" x14ac:dyDescent="0.25">
      <c r="A36" t="s">
        <v>127</v>
      </c>
      <c r="B36">
        <v>48</v>
      </c>
      <c r="C36">
        <v>2423862</v>
      </c>
      <c r="D36">
        <v>20</v>
      </c>
      <c r="E36" t="s">
        <v>25</v>
      </c>
      <c r="F36">
        <v>3</v>
      </c>
      <c r="G36" t="s">
        <v>32</v>
      </c>
      <c r="H36" t="s">
        <v>23</v>
      </c>
      <c r="I36" t="s">
        <v>22</v>
      </c>
      <c r="J36" t="str">
        <f t="shared" si="0"/>
        <v>40-49</v>
      </c>
      <c r="K36" t="str">
        <f t="shared" si="1"/>
        <v>15+ LPA</v>
      </c>
      <c r="L36" t="str">
        <f t="shared" si="2"/>
        <v>10+ Years</v>
      </c>
      <c r="M36">
        <f t="shared" si="3"/>
        <v>0</v>
      </c>
    </row>
    <row r="37" spans="1:13" x14ac:dyDescent="0.25">
      <c r="A37" t="s">
        <v>130</v>
      </c>
      <c r="B37">
        <v>35</v>
      </c>
      <c r="C37">
        <v>814673</v>
      </c>
      <c r="D37">
        <v>5</v>
      </c>
      <c r="E37" t="s">
        <v>25</v>
      </c>
      <c r="F37">
        <v>4</v>
      </c>
      <c r="G37" t="s">
        <v>66</v>
      </c>
      <c r="H37" t="s">
        <v>78</v>
      </c>
      <c r="I37" t="s">
        <v>14</v>
      </c>
      <c r="J37" t="str">
        <f t="shared" si="0"/>
        <v>30-39</v>
      </c>
      <c r="K37" t="str">
        <f t="shared" si="1"/>
        <v>5-10 LPA</v>
      </c>
      <c r="L37" t="str">
        <f t="shared" si="2"/>
        <v>3-5 Years</v>
      </c>
      <c r="M37">
        <f t="shared" si="3"/>
        <v>0</v>
      </c>
    </row>
    <row r="38" spans="1:13" x14ac:dyDescent="0.25">
      <c r="A38" t="s">
        <v>132</v>
      </c>
      <c r="B38">
        <v>29</v>
      </c>
      <c r="C38">
        <v>790084</v>
      </c>
      <c r="D38">
        <v>3</v>
      </c>
      <c r="E38" t="s">
        <v>25</v>
      </c>
      <c r="F38">
        <v>3</v>
      </c>
      <c r="G38" t="s">
        <v>40</v>
      </c>
      <c r="H38" t="s">
        <v>78</v>
      </c>
      <c r="I38" t="s">
        <v>14</v>
      </c>
      <c r="J38" t="str">
        <f t="shared" si="0"/>
        <v>25-29</v>
      </c>
      <c r="K38" t="str">
        <f t="shared" si="1"/>
        <v>5-10 LPA</v>
      </c>
      <c r="L38" t="str">
        <f t="shared" si="2"/>
        <v>3-5 Years</v>
      </c>
      <c r="M38">
        <f t="shared" si="3"/>
        <v>0</v>
      </c>
    </row>
    <row r="39" spans="1:13" x14ac:dyDescent="0.25">
      <c r="A39" t="s">
        <v>134</v>
      </c>
      <c r="B39">
        <v>40</v>
      </c>
      <c r="C39">
        <v>1720921</v>
      </c>
      <c r="D39">
        <v>16</v>
      </c>
      <c r="E39" t="s">
        <v>25</v>
      </c>
      <c r="F39">
        <v>3</v>
      </c>
      <c r="G39" t="s">
        <v>136</v>
      </c>
      <c r="H39" t="s">
        <v>78</v>
      </c>
      <c r="I39" t="s">
        <v>22</v>
      </c>
      <c r="J39" t="str">
        <f t="shared" si="0"/>
        <v>40-49</v>
      </c>
      <c r="K39" t="str">
        <f t="shared" si="1"/>
        <v>15+ LPA</v>
      </c>
      <c r="L39" t="str">
        <f t="shared" si="2"/>
        <v>10+ Years</v>
      </c>
      <c r="M39">
        <f t="shared" si="3"/>
        <v>0</v>
      </c>
    </row>
    <row r="40" spans="1:13" x14ac:dyDescent="0.25">
      <c r="A40" t="s">
        <v>138</v>
      </c>
      <c r="B40">
        <v>30</v>
      </c>
      <c r="C40">
        <v>1398455</v>
      </c>
      <c r="D40">
        <v>9</v>
      </c>
      <c r="E40" t="s">
        <v>25</v>
      </c>
      <c r="F40">
        <v>3</v>
      </c>
      <c r="G40" t="s">
        <v>16</v>
      </c>
      <c r="H40" t="s">
        <v>50</v>
      </c>
      <c r="I40" t="s">
        <v>14</v>
      </c>
      <c r="J40" t="str">
        <f t="shared" si="0"/>
        <v>30-39</v>
      </c>
      <c r="K40" t="str">
        <f t="shared" si="1"/>
        <v>10-15 LPA</v>
      </c>
      <c r="L40" t="str">
        <f t="shared" si="2"/>
        <v>6-10 Years</v>
      </c>
      <c r="M40">
        <f t="shared" si="3"/>
        <v>0</v>
      </c>
    </row>
    <row r="41" spans="1:13" x14ac:dyDescent="0.25">
      <c r="A41" t="s">
        <v>140</v>
      </c>
      <c r="B41">
        <v>31</v>
      </c>
      <c r="C41">
        <v>831766</v>
      </c>
      <c r="D41">
        <v>4</v>
      </c>
      <c r="E41" t="s">
        <v>25</v>
      </c>
      <c r="F41">
        <v>3</v>
      </c>
      <c r="G41" t="s">
        <v>136</v>
      </c>
      <c r="H41" t="s">
        <v>61</v>
      </c>
      <c r="I41" t="s">
        <v>22</v>
      </c>
      <c r="J41" t="str">
        <f t="shared" si="0"/>
        <v>30-39</v>
      </c>
      <c r="K41" t="str">
        <f t="shared" si="1"/>
        <v>5-10 LPA</v>
      </c>
      <c r="L41" t="str">
        <f t="shared" si="2"/>
        <v>3-5 Years</v>
      </c>
      <c r="M41">
        <f t="shared" si="3"/>
        <v>0</v>
      </c>
    </row>
    <row r="42" spans="1:13" x14ac:dyDescent="0.25">
      <c r="A42" t="s">
        <v>143</v>
      </c>
      <c r="B42">
        <v>30</v>
      </c>
      <c r="C42">
        <v>1154236</v>
      </c>
      <c r="D42">
        <v>5</v>
      </c>
      <c r="E42" t="s">
        <v>25</v>
      </c>
      <c r="F42">
        <v>3</v>
      </c>
      <c r="G42" t="s">
        <v>32</v>
      </c>
      <c r="H42" t="s">
        <v>61</v>
      </c>
      <c r="I42" t="s">
        <v>22</v>
      </c>
      <c r="J42" t="str">
        <f t="shared" si="0"/>
        <v>30-39</v>
      </c>
      <c r="K42" t="str">
        <f t="shared" si="1"/>
        <v>10-15 LPA</v>
      </c>
      <c r="L42" t="str">
        <f t="shared" si="2"/>
        <v>3-5 Years</v>
      </c>
      <c r="M42">
        <f t="shared" si="3"/>
        <v>0</v>
      </c>
    </row>
    <row r="43" spans="1:13" x14ac:dyDescent="0.25">
      <c r="A43" t="s">
        <v>146</v>
      </c>
      <c r="B43">
        <v>40</v>
      </c>
      <c r="C43">
        <v>1607948</v>
      </c>
      <c r="D43">
        <v>9</v>
      </c>
      <c r="E43" t="s">
        <v>19</v>
      </c>
      <c r="F43">
        <v>2</v>
      </c>
      <c r="G43" t="s">
        <v>46</v>
      </c>
      <c r="H43" t="s">
        <v>39</v>
      </c>
      <c r="I43" t="s">
        <v>14</v>
      </c>
      <c r="J43" t="str">
        <f t="shared" si="0"/>
        <v>40-49</v>
      </c>
      <c r="K43" t="str">
        <f t="shared" si="1"/>
        <v>15+ LPA</v>
      </c>
      <c r="L43" t="str">
        <f t="shared" si="2"/>
        <v>6-10 Years</v>
      </c>
      <c r="M43">
        <f t="shared" si="3"/>
        <v>1</v>
      </c>
    </row>
    <row r="44" spans="1:13" x14ac:dyDescent="0.25">
      <c r="A44" t="s">
        <v>148</v>
      </c>
      <c r="B44">
        <v>28</v>
      </c>
      <c r="C44">
        <v>573998</v>
      </c>
      <c r="D44">
        <v>4</v>
      </c>
      <c r="E44" t="s">
        <v>25</v>
      </c>
      <c r="F44">
        <v>3</v>
      </c>
      <c r="G44" t="s">
        <v>40</v>
      </c>
      <c r="H44" t="s">
        <v>50</v>
      </c>
      <c r="I44" t="s">
        <v>14</v>
      </c>
      <c r="J44" t="str">
        <f t="shared" si="0"/>
        <v>25-29</v>
      </c>
      <c r="K44" t="str">
        <f t="shared" si="1"/>
        <v>5-10 LPA</v>
      </c>
      <c r="L44" t="str">
        <f t="shared" si="2"/>
        <v>3-5 Years</v>
      </c>
      <c r="M44">
        <f t="shared" si="3"/>
        <v>0</v>
      </c>
    </row>
    <row r="45" spans="1:13" x14ac:dyDescent="0.25">
      <c r="A45" t="s">
        <v>150</v>
      </c>
      <c r="B45">
        <v>29</v>
      </c>
      <c r="C45">
        <v>1119166</v>
      </c>
      <c r="D45">
        <v>6</v>
      </c>
      <c r="E45" t="s">
        <v>25</v>
      </c>
      <c r="F45">
        <v>4</v>
      </c>
      <c r="G45" t="s">
        <v>40</v>
      </c>
      <c r="H45" t="s">
        <v>78</v>
      </c>
      <c r="I45" t="s">
        <v>22</v>
      </c>
      <c r="J45" t="str">
        <f t="shared" si="0"/>
        <v>25-29</v>
      </c>
      <c r="K45" t="str">
        <f t="shared" si="1"/>
        <v>10-15 LPA</v>
      </c>
      <c r="L45" t="str">
        <f t="shared" si="2"/>
        <v>6-10 Years</v>
      </c>
      <c r="M45">
        <f t="shared" si="3"/>
        <v>0</v>
      </c>
    </row>
    <row r="46" spans="1:13" x14ac:dyDescent="0.25">
      <c r="A46" t="s">
        <v>152</v>
      </c>
      <c r="B46">
        <v>21</v>
      </c>
      <c r="C46">
        <v>689757</v>
      </c>
      <c r="D46">
        <v>0</v>
      </c>
      <c r="E46" t="s">
        <v>19</v>
      </c>
      <c r="F46">
        <v>4</v>
      </c>
      <c r="G46" t="s">
        <v>54</v>
      </c>
      <c r="H46" t="s">
        <v>50</v>
      </c>
      <c r="I46" t="s">
        <v>22</v>
      </c>
      <c r="J46" t="str">
        <f t="shared" si="0"/>
        <v>21-24</v>
      </c>
      <c r="K46" t="str">
        <f t="shared" si="1"/>
        <v>5-10 LPA</v>
      </c>
      <c r="L46" t="str">
        <f t="shared" si="2"/>
        <v>0-2 Years</v>
      </c>
      <c r="M46">
        <f t="shared" si="3"/>
        <v>1</v>
      </c>
    </row>
    <row r="47" spans="1:13" x14ac:dyDescent="0.25">
      <c r="A47" t="s">
        <v>154</v>
      </c>
      <c r="B47">
        <v>28</v>
      </c>
      <c r="C47">
        <v>766890</v>
      </c>
      <c r="D47">
        <v>7</v>
      </c>
      <c r="E47" t="s">
        <v>19</v>
      </c>
      <c r="F47">
        <v>3</v>
      </c>
      <c r="G47" t="s">
        <v>40</v>
      </c>
      <c r="H47" t="s">
        <v>28</v>
      </c>
      <c r="I47" t="s">
        <v>22</v>
      </c>
      <c r="J47" t="str">
        <f t="shared" si="0"/>
        <v>25-29</v>
      </c>
      <c r="K47" t="str">
        <f t="shared" si="1"/>
        <v>5-10 LPA</v>
      </c>
      <c r="L47" t="str">
        <f t="shared" si="2"/>
        <v>6-10 Years</v>
      </c>
      <c r="M47">
        <f t="shared" si="3"/>
        <v>1</v>
      </c>
    </row>
    <row r="48" spans="1:13" x14ac:dyDescent="0.25">
      <c r="A48" t="s">
        <v>156</v>
      </c>
      <c r="B48">
        <v>30</v>
      </c>
      <c r="C48">
        <v>1207108</v>
      </c>
      <c r="D48">
        <v>3</v>
      </c>
      <c r="E48" t="s">
        <v>25</v>
      </c>
      <c r="F48">
        <v>3</v>
      </c>
      <c r="G48" t="s">
        <v>46</v>
      </c>
      <c r="H48" t="s">
        <v>23</v>
      </c>
      <c r="I48" t="s">
        <v>22</v>
      </c>
      <c r="J48" t="str">
        <f t="shared" si="0"/>
        <v>30-39</v>
      </c>
      <c r="K48" t="str">
        <f t="shared" si="1"/>
        <v>10-15 LPA</v>
      </c>
      <c r="L48" t="str">
        <f t="shared" si="2"/>
        <v>3-5 Years</v>
      </c>
      <c r="M48">
        <f t="shared" si="3"/>
        <v>0</v>
      </c>
    </row>
    <row r="49" spans="1:13" x14ac:dyDescent="0.25">
      <c r="A49" t="s">
        <v>158</v>
      </c>
      <c r="B49">
        <v>39</v>
      </c>
      <c r="C49">
        <v>1306249</v>
      </c>
      <c r="D49">
        <v>13</v>
      </c>
      <c r="E49" t="s">
        <v>25</v>
      </c>
      <c r="F49">
        <v>2</v>
      </c>
      <c r="G49" t="s">
        <v>54</v>
      </c>
      <c r="H49" t="s">
        <v>28</v>
      </c>
      <c r="I49" t="s">
        <v>14</v>
      </c>
      <c r="J49" t="str">
        <f t="shared" si="0"/>
        <v>30-39</v>
      </c>
      <c r="K49" t="str">
        <f t="shared" si="1"/>
        <v>10-15 LPA</v>
      </c>
      <c r="L49" t="str">
        <f t="shared" si="2"/>
        <v>10+ Years</v>
      </c>
      <c r="M49">
        <f t="shared" si="3"/>
        <v>0</v>
      </c>
    </row>
    <row r="50" spans="1:13" x14ac:dyDescent="0.25">
      <c r="A50" t="s">
        <v>160</v>
      </c>
      <c r="B50">
        <v>21</v>
      </c>
      <c r="C50">
        <v>580245</v>
      </c>
      <c r="D50">
        <v>0</v>
      </c>
      <c r="E50" t="s">
        <v>19</v>
      </c>
      <c r="F50">
        <v>2</v>
      </c>
      <c r="G50" t="s">
        <v>74</v>
      </c>
      <c r="H50" t="s">
        <v>50</v>
      </c>
      <c r="I50" t="s">
        <v>14</v>
      </c>
      <c r="J50" t="str">
        <f t="shared" si="0"/>
        <v>21-24</v>
      </c>
      <c r="K50" t="str">
        <f t="shared" si="1"/>
        <v>5-10 LPA</v>
      </c>
      <c r="L50" t="str">
        <f t="shared" si="2"/>
        <v>0-2 Years</v>
      </c>
      <c r="M50">
        <f t="shared" si="3"/>
        <v>1</v>
      </c>
    </row>
    <row r="51" spans="1:13" x14ac:dyDescent="0.25">
      <c r="A51" t="s">
        <v>162</v>
      </c>
      <c r="B51">
        <v>41</v>
      </c>
      <c r="C51">
        <v>1415884</v>
      </c>
      <c r="D51">
        <v>9</v>
      </c>
      <c r="E51" t="s">
        <v>25</v>
      </c>
      <c r="F51">
        <v>3</v>
      </c>
      <c r="G51" t="s">
        <v>16</v>
      </c>
      <c r="H51" t="s">
        <v>31</v>
      </c>
      <c r="I51" t="s">
        <v>22</v>
      </c>
      <c r="J51" t="str">
        <f t="shared" si="0"/>
        <v>40-49</v>
      </c>
      <c r="K51" t="str">
        <f t="shared" si="1"/>
        <v>10-15 LPA</v>
      </c>
      <c r="L51" t="str">
        <f t="shared" si="2"/>
        <v>6-10 Years</v>
      </c>
      <c r="M51">
        <f t="shared" si="3"/>
        <v>0</v>
      </c>
    </row>
    <row r="52" spans="1:13" x14ac:dyDescent="0.25">
      <c r="A52" t="s">
        <v>164</v>
      </c>
      <c r="B52">
        <v>27</v>
      </c>
      <c r="C52">
        <v>836663</v>
      </c>
      <c r="D52">
        <v>6</v>
      </c>
      <c r="E52" t="s">
        <v>19</v>
      </c>
      <c r="F52">
        <v>4</v>
      </c>
      <c r="G52" t="s">
        <v>16</v>
      </c>
      <c r="H52" t="s">
        <v>61</v>
      </c>
      <c r="I52" t="s">
        <v>22</v>
      </c>
      <c r="J52" t="str">
        <f t="shared" si="0"/>
        <v>25-29</v>
      </c>
      <c r="K52" t="str">
        <f t="shared" si="1"/>
        <v>5-10 LPA</v>
      </c>
      <c r="L52" t="str">
        <f t="shared" si="2"/>
        <v>6-10 Years</v>
      </c>
      <c r="M52">
        <f t="shared" si="3"/>
        <v>1</v>
      </c>
    </row>
    <row r="53" spans="1:13" x14ac:dyDescent="0.25">
      <c r="A53" t="s">
        <v>166</v>
      </c>
      <c r="B53">
        <v>42</v>
      </c>
      <c r="C53">
        <v>1311020</v>
      </c>
      <c r="D53">
        <v>11</v>
      </c>
      <c r="E53" t="s">
        <v>25</v>
      </c>
      <c r="F53">
        <v>2</v>
      </c>
      <c r="G53" t="s">
        <v>66</v>
      </c>
      <c r="H53" t="s">
        <v>23</v>
      </c>
      <c r="I53" t="s">
        <v>14</v>
      </c>
      <c r="J53" t="str">
        <f t="shared" si="0"/>
        <v>40-49</v>
      </c>
      <c r="K53" t="str">
        <f t="shared" si="1"/>
        <v>10-15 LPA</v>
      </c>
      <c r="L53" t="str">
        <f t="shared" si="2"/>
        <v>10+ Years</v>
      </c>
      <c r="M53">
        <f t="shared" si="3"/>
        <v>0</v>
      </c>
    </row>
    <row r="54" spans="1:13" x14ac:dyDescent="0.25">
      <c r="A54" t="s">
        <v>168</v>
      </c>
      <c r="B54">
        <v>35</v>
      </c>
      <c r="C54">
        <v>1192111</v>
      </c>
      <c r="D54">
        <v>7</v>
      </c>
      <c r="E54" t="s">
        <v>19</v>
      </c>
      <c r="F54">
        <v>5</v>
      </c>
      <c r="G54" t="s">
        <v>136</v>
      </c>
      <c r="H54" t="s">
        <v>45</v>
      </c>
      <c r="I54" t="s">
        <v>22</v>
      </c>
      <c r="J54" t="str">
        <f t="shared" si="0"/>
        <v>30-39</v>
      </c>
      <c r="K54" t="str">
        <f t="shared" si="1"/>
        <v>10-15 LPA</v>
      </c>
      <c r="L54" t="str">
        <f t="shared" si="2"/>
        <v>6-10 Years</v>
      </c>
      <c r="M54">
        <f t="shared" si="3"/>
        <v>1</v>
      </c>
    </row>
    <row r="55" spans="1:13" x14ac:dyDescent="0.25">
      <c r="A55" t="s">
        <v>170</v>
      </c>
      <c r="B55">
        <v>35</v>
      </c>
      <c r="C55">
        <v>1273133</v>
      </c>
      <c r="D55">
        <v>8</v>
      </c>
      <c r="E55" t="s">
        <v>25</v>
      </c>
      <c r="F55">
        <v>5</v>
      </c>
      <c r="G55" t="s">
        <v>66</v>
      </c>
      <c r="H55" t="s">
        <v>23</v>
      </c>
      <c r="I55" t="s">
        <v>22</v>
      </c>
      <c r="J55" t="str">
        <f t="shared" si="0"/>
        <v>30-39</v>
      </c>
      <c r="K55" t="str">
        <f t="shared" si="1"/>
        <v>10-15 LPA</v>
      </c>
      <c r="L55" t="str">
        <f t="shared" si="2"/>
        <v>6-10 Years</v>
      </c>
      <c r="M55">
        <f t="shared" si="3"/>
        <v>0</v>
      </c>
    </row>
    <row r="56" spans="1:13" x14ac:dyDescent="0.25">
      <c r="A56" t="s">
        <v>172</v>
      </c>
      <c r="B56">
        <v>28</v>
      </c>
      <c r="C56">
        <v>1275016</v>
      </c>
      <c r="D56">
        <v>7</v>
      </c>
      <c r="E56" t="s">
        <v>25</v>
      </c>
      <c r="F56">
        <v>3</v>
      </c>
      <c r="G56" t="s">
        <v>32</v>
      </c>
      <c r="H56" t="s">
        <v>78</v>
      </c>
      <c r="I56" t="s">
        <v>22</v>
      </c>
      <c r="J56" t="str">
        <f t="shared" si="0"/>
        <v>25-29</v>
      </c>
      <c r="K56" t="str">
        <f t="shared" si="1"/>
        <v>10-15 LPA</v>
      </c>
      <c r="L56" t="str">
        <f t="shared" si="2"/>
        <v>6-10 Years</v>
      </c>
      <c r="M56">
        <f t="shared" si="3"/>
        <v>0</v>
      </c>
    </row>
    <row r="57" spans="1:13" x14ac:dyDescent="0.25">
      <c r="A57" t="s">
        <v>174</v>
      </c>
      <c r="B57">
        <v>38</v>
      </c>
      <c r="C57">
        <v>942682</v>
      </c>
      <c r="D57">
        <v>2</v>
      </c>
      <c r="E57" t="s">
        <v>25</v>
      </c>
      <c r="F57">
        <v>5</v>
      </c>
      <c r="G57" t="s">
        <v>32</v>
      </c>
      <c r="H57" t="s">
        <v>50</v>
      </c>
      <c r="I57" t="s">
        <v>14</v>
      </c>
      <c r="J57" t="str">
        <f t="shared" si="0"/>
        <v>30-39</v>
      </c>
      <c r="K57" t="str">
        <f t="shared" si="1"/>
        <v>5-10 LPA</v>
      </c>
      <c r="L57" t="str">
        <f t="shared" si="2"/>
        <v>0-2 Years</v>
      </c>
      <c r="M57">
        <f t="shared" si="3"/>
        <v>0</v>
      </c>
    </row>
    <row r="58" spans="1:13" x14ac:dyDescent="0.25">
      <c r="A58" t="s">
        <v>176</v>
      </c>
      <c r="B58">
        <v>21</v>
      </c>
      <c r="C58">
        <v>843776</v>
      </c>
      <c r="D58">
        <v>0</v>
      </c>
      <c r="E58" t="s">
        <v>25</v>
      </c>
      <c r="F58">
        <v>3</v>
      </c>
      <c r="G58" t="s">
        <v>74</v>
      </c>
      <c r="H58" t="s">
        <v>85</v>
      </c>
      <c r="I58" t="s">
        <v>22</v>
      </c>
      <c r="J58" t="str">
        <f t="shared" si="0"/>
        <v>21-24</v>
      </c>
      <c r="K58" t="str">
        <f t="shared" si="1"/>
        <v>5-10 LPA</v>
      </c>
      <c r="L58" t="str">
        <f t="shared" si="2"/>
        <v>0-2 Years</v>
      </c>
      <c r="M58">
        <f t="shared" si="3"/>
        <v>0</v>
      </c>
    </row>
    <row r="59" spans="1:13" x14ac:dyDescent="0.25">
      <c r="A59" t="s">
        <v>178</v>
      </c>
      <c r="B59">
        <v>42</v>
      </c>
      <c r="C59">
        <v>1807774</v>
      </c>
      <c r="D59">
        <v>15</v>
      </c>
      <c r="E59" t="s">
        <v>25</v>
      </c>
      <c r="F59">
        <v>3</v>
      </c>
      <c r="G59" t="s">
        <v>46</v>
      </c>
      <c r="H59" t="s">
        <v>23</v>
      </c>
      <c r="I59" t="s">
        <v>22</v>
      </c>
      <c r="J59" t="str">
        <f t="shared" si="0"/>
        <v>40-49</v>
      </c>
      <c r="K59" t="str">
        <f t="shared" si="1"/>
        <v>15+ LPA</v>
      </c>
      <c r="L59" t="str">
        <f t="shared" si="2"/>
        <v>10+ Years</v>
      </c>
      <c r="M59">
        <f t="shared" si="3"/>
        <v>0</v>
      </c>
    </row>
    <row r="60" spans="1:13" x14ac:dyDescent="0.25">
      <c r="A60" t="s">
        <v>180</v>
      </c>
      <c r="B60">
        <v>33</v>
      </c>
      <c r="C60">
        <v>1417723</v>
      </c>
      <c r="D60">
        <v>7</v>
      </c>
      <c r="E60" t="s">
        <v>25</v>
      </c>
      <c r="F60">
        <v>4</v>
      </c>
      <c r="G60" t="s">
        <v>32</v>
      </c>
      <c r="H60" t="s">
        <v>31</v>
      </c>
      <c r="I60" t="s">
        <v>22</v>
      </c>
      <c r="J60" t="str">
        <f t="shared" si="0"/>
        <v>30-39</v>
      </c>
      <c r="K60" t="str">
        <f t="shared" si="1"/>
        <v>10-15 LPA</v>
      </c>
      <c r="L60" t="str">
        <f t="shared" si="2"/>
        <v>6-10 Years</v>
      </c>
      <c r="M60">
        <f t="shared" si="3"/>
        <v>0</v>
      </c>
    </row>
    <row r="61" spans="1:13" x14ac:dyDescent="0.25">
      <c r="A61" t="s">
        <v>182</v>
      </c>
      <c r="B61">
        <v>31</v>
      </c>
      <c r="C61">
        <v>729228</v>
      </c>
      <c r="D61">
        <v>5</v>
      </c>
      <c r="E61" t="s">
        <v>25</v>
      </c>
      <c r="F61">
        <v>4</v>
      </c>
      <c r="G61" t="s">
        <v>54</v>
      </c>
      <c r="H61" t="s">
        <v>85</v>
      </c>
      <c r="I61" t="s">
        <v>22</v>
      </c>
      <c r="J61" t="str">
        <f t="shared" si="0"/>
        <v>30-39</v>
      </c>
      <c r="K61" t="str">
        <f t="shared" si="1"/>
        <v>5-10 LPA</v>
      </c>
      <c r="L61" t="str">
        <f t="shared" si="2"/>
        <v>3-5 Years</v>
      </c>
      <c r="M61">
        <f t="shared" si="3"/>
        <v>0</v>
      </c>
    </row>
    <row r="62" spans="1:13" x14ac:dyDescent="0.25">
      <c r="A62" t="s">
        <v>183</v>
      </c>
      <c r="B62">
        <v>22</v>
      </c>
      <c r="C62">
        <v>1152989</v>
      </c>
      <c r="D62">
        <v>1</v>
      </c>
      <c r="E62" t="s">
        <v>25</v>
      </c>
      <c r="F62">
        <v>3</v>
      </c>
      <c r="G62" t="s">
        <v>32</v>
      </c>
      <c r="H62" t="s">
        <v>50</v>
      </c>
      <c r="I62" t="s">
        <v>14</v>
      </c>
      <c r="J62" t="str">
        <f t="shared" si="0"/>
        <v>21-24</v>
      </c>
      <c r="K62" t="str">
        <f t="shared" si="1"/>
        <v>10-15 LPA</v>
      </c>
      <c r="L62" t="str">
        <f t="shared" si="2"/>
        <v>0-2 Years</v>
      </c>
      <c r="M62">
        <f t="shared" si="3"/>
        <v>0</v>
      </c>
    </row>
    <row r="63" spans="1:13" x14ac:dyDescent="0.25">
      <c r="A63" t="s">
        <v>185</v>
      </c>
      <c r="B63">
        <v>29</v>
      </c>
      <c r="C63">
        <v>1503576</v>
      </c>
      <c r="D63">
        <v>7</v>
      </c>
      <c r="E63" t="s">
        <v>25</v>
      </c>
      <c r="F63">
        <v>4</v>
      </c>
      <c r="G63" t="s">
        <v>32</v>
      </c>
      <c r="H63" t="s">
        <v>45</v>
      </c>
      <c r="I63" t="s">
        <v>22</v>
      </c>
      <c r="J63" t="str">
        <f t="shared" si="0"/>
        <v>25-29</v>
      </c>
      <c r="K63" t="str">
        <f t="shared" si="1"/>
        <v>15+ LPA</v>
      </c>
      <c r="L63" t="str">
        <f t="shared" si="2"/>
        <v>6-10 Years</v>
      </c>
      <c r="M63">
        <f t="shared" si="3"/>
        <v>0</v>
      </c>
    </row>
    <row r="64" spans="1:13" x14ac:dyDescent="0.25">
      <c r="A64" t="s">
        <v>187</v>
      </c>
      <c r="B64">
        <v>42</v>
      </c>
      <c r="C64">
        <v>974221</v>
      </c>
      <c r="D64">
        <v>14</v>
      </c>
      <c r="E64" t="s">
        <v>25</v>
      </c>
      <c r="F64">
        <v>3</v>
      </c>
      <c r="G64" t="s">
        <v>40</v>
      </c>
      <c r="H64" t="s">
        <v>61</v>
      </c>
      <c r="I64" t="s">
        <v>14</v>
      </c>
      <c r="J64" t="str">
        <f t="shared" si="0"/>
        <v>40-49</v>
      </c>
      <c r="K64" t="str">
        <f t="shared" si="1"/>
        <v>5-10 LPA</v>
      </c>
      <c r="L64" t="str">
        <f t="shared" si="2"/>
        <v>10+ Years</v>
      </c>
      <c r="M64">
        <f t="shared" si="3"/>
        <v>0</v>
      </c>
    </row>
    <row r="65" spans="1:13" x14ac:dyDescent="0.25">
      <c r="A65" t="s">
        <v>189</v>
      </c>
      <c r="B65">
        <v>42</v>
      </c>
      <c r="C65">
        <v>1496668</v>
      </c>
      <c r="D65">
        <v>16</v>
      </c>
      <c r="E65" t="s">
        <v>25</v>
      </c>
      <c r="F65">
        <v>4</v>
      </c>
      <c r="G65" t="s">
        <v>136</v>
      </c>
      <c r="H65" t="s">
        <v>31</v>
      </c>
      <c r="I65" t="s">
        <v>14</v>
      </c>
      <c r="J65" t="str">
        <f t="shared" si="0"/>
        <v>40-49</v>
      </c>
      <c r="K65" t="str">
        <f t="shared" si="1"/>
        <v>10-15 LPA</v>
      </c>
      <c r="L65" t="str">
        <f t="shared" si="2"/>
        <v>10+ Years</v>
      </c>
      <c r="M65">
        <f t="shared" si="3"/>
        <v>0</v>
      </c>
    </row>
    <row r="66" spans="1:13" x14ac:dyDescent="0.25">
      <c r="A66" t="s">
        <v>192</v>
      </c>
      <c r="B66">
        <v>31</v>
      </c>
      <c r="C66">
        <v>814442</v>
      </c>
      <c r="D66">
        <v>7</v>
      </c>
      <c r="E66" t="s">
        <v>25</v>
      </c>
      <c r="F66">
        <v>3</v>
      </c>
      <c r="G66" t="s">
        <v>40</v>
      </c>
      <c r="H66" t="s">
        <v>15</v>
      </c>
      <c r="I66" t="s">
        <v>14</v>
      </c>
      <c r="J66" t="str">
        <f t="shared" si="0"/>
        <v>30-39</v>
      </c>
      <c r="K66" t="str">
        <f t="shared" si="1"/>
        <v>5-10 LPA</v>
      </c>
      <c r="L66" t="str">
        <f t="shared" si="2"/>
        <v>6-10 Years</v>
      </c>
      <c r="M66">
        <f t="shared" si="3"/>
        <v>0</v>
      </c>
    </row>
    <row r="67" spans="1:13" x14ac:dyDescent="0.25">
      <c r="A67" t="s">
        <v>194</v>
      </c>
      <c r="B67">
        <v>34</v>
      </c>
      <c r="C67">
        <v>925410</v>
      </c>
      <c r="D67">
        <v>8</v>
      </c>
      <c r="E67" t="s">
        <v>25</v>
      </c>
      <c r="F67">
        <v>4</v>
      </c>
      <c r="G67" t="s">
        <v>16</v>
      </c>
      <c r="H67" t="s">
        <v>31</v>
      </c>
      <c r="I67" t="s">
        <v>14</v>
      </c>
      <c r="J67" t="str">
        <f t="shared" ref="J67:J130" si="4">IF(B67&lt;25,"21-24",
IF(B67&lt;30,"25-29",
IF(B67&lt;40,"30-39",
IF(B67&lt;50,"40-49","50+"))))</f>
        <v>30-39</v>
      </c>
      <c r="K67" t="str">
        <f t="shared" ref="K67:K130" si="5">IF(C67&lt;500000,"Below 5 LPA",
IF(C67&lt;1000000,"5-10 LPA",
IF(C67&lt;1500000,"10-15 LPA","15+ LPA")))</f>
        <v>5-10 LPA</v>
      </c>
      <c r="L67" t="str">
        <f t="shared" ref="L67:L130" si="6">IF(D67&lt;=2,"0-2 Years",
IF(D67&lt;=5,"3-5 Years",
IF(D67&lt;=10,"6-10 Years","10+ Years")))</f>
        <v>6-10 Years</v>
      </c>
      <c r="M67">
        <f t="shared" ref="M67:M130" si="7">IF(E67="Yes",1,0)</f>
        <v>0</v>
      </c>
    </row>
    <row r="68" spans="1:13" x14ac:dyDescent="0.25">
      <c r="A68" t="s">
        <v>196</v>
      </c>
      <c r="B68">
        <v>28</v>
      </c>
      <c r="C68">
        <v>546605</v>
      </c>
      <c r="D68">
        <v>2</v>
      </c>
      <c r="E68" t="s">
        <v>19</v>
      </c>
      <c r="F68">
        <v>2</v>
      </c>
      <c r="G68" t="s">
        <v>66</v>
      </c>
      <c r="H68" t="s">
        <v>28</v>
      </c>
      <c r="I68" t="s">
        <v>22</v>
      </c>
      <c r="J68" t="str">
        <f t="shared" si="4"/>
        <v>25-29</v>
      </c>
      <c r="K68" t="str">
        <f t="shared" si="5"/>
        <v>5-10 LPA</v>
      </c>
      <c r="L68" t="str">
        <f t="shared" si="6"/>
        <v>0-2 Years</v>
      </c>
      <c r="M68">
        <f t="shared" si="7"/>
        <v>1</v>
      </c>
    </row>
    <row r="69" spans="1:13" x14ac:dyDescent="0.25">
      <c r="A69" t="s">
        <v>199</v>
      </c>
      <c r="B69">
        <v>28</v>
      </c>
      <c r="C69">
        <v>1504690</v>
      </c>
      <c r="D69">
        <v>2</v>
      </c>
      <c r="E69" t="s">
        <v>25</v>
      </c>
      <c r="F69">
        <v>1</v>
      </c>
      <c r="G69" t="s">
        <v>32</v>
      </c>
      <c r="H69" t="s">
        <v>31</v>
      </c>
      <c r="I69" t="s">
        <v>14</v>
      </c>
      <c r="J69" t="str">
        <f t="shared" si="4"/>
        <v>25-29</v>
      </c>
      <c r="K69" t="str">
        <f t="shared" si="5"/>
        <v>15+ LPA</v>
      </c>
      <c r="L69" t="str">
        <f t="shared" si="6"/>
        <v>0-2 Years</v>
      </c>
      <c r="M69">
        <f t="shared" si="7"/>
        <v>0</v>
      </c>
    </row>
    <row r="70" spans="1:13" x14ac:dyDescent="0.25">
      <c r="A70" t="s">
        <v>201</v>
      </c>
      <c r="B70">
        <v>37</v>
      </c>
      <c r="C70">
        <v>895744</v>
      </c>
      <c r="D70">
        <v>6</v>
      </c>
      <c r="E70" t="s">
        <v>25</v>
      </c>
      <c r="F70">
        <v>3</v>
      </c>
      <c r="G70" t="s">
        <v>54</v>
      </c>
      <c r="H70" t="s">
        <v>23</v>
      </c>
      <c r="I70" t="s">
        <v>22</v>
      </c>
      <c r="J70" t="str">
        <f t="shared" si="4"/>
        <v>30-39</v>
      </c>
      <c r="K70" t="str">
        <f t="shared" si="5"/>
        <v>5-10 LPA</v>
      </c>
      <c r="L70" t="str">
        <f t="shared" si="6"/>
        <v>6-10 Years</v>
      </c>
      <c r="M70">
        <f t="shared" si="7"/>
        <v>0</v>
      </c>
    </row>
    <row r="71" spans="1:13" x14ac:dyDescent="0.25">
      <c r="A71" t="s">
        <v>203</v>
      </c>
      <c r="B71">
        <v>23</v>
      </c>
      <c r="C71">
        <v>717586</v>
      </c>
      <c r="D71">
        <v>2</v>
      </c>
      <c r="E71" t="s">
        <v>25</v>
      </c>
      <c r="F71">
        <v>3</v>
      </c>
      <c r="G71" t="s">
        <v>66</v>
      </c>
      <c r="H71" t="s">
        <v>23</v>
      </c>
      <c r="I71" t="s">
        <v>14</v>
      </c>
      <c r="J71" t="str">
        <f t="shared" si="4"/>
        <v>21-24</v>
      </c>
      <c r="K71" t="str">
        <f t="shared" si="5"/>
        <v>5-10 LPA</v>
      </c>
      <c r="L71" t="str">
        <f t="shared" si="6"/>
        <v>0-2 Years</v>
      </c>
      <c r="M71">
        <f t="shared" si="7"/>
        <v>0</v>
      </c>
    </row>
    <row r="72" spans="1:13" x14ac:dyDescent="0.25">
      <c r="A72" t="s">
        <v>205</v>
      </c>
      <c r="B72">
        <v>25</v>
      </c>
      <c r="C72">
        <v>787054</v>
      </c>
      <c r="D72">
        <v>2</v>
      </c>
      <c r="E72" t="s">
        <v>19</v>
      </c>
      <c r="F72">
        <v>3</v>
      </c>
      <c r="G72" t="s">
        <v>136</v>
      </c>
      <c r="H72" t="s">
        <v>39</v>
      </c>
      <c r="I72" t="s">
        <v>14</v>
      </c>
      <c r="J72" t="str">
        <f t="shared" si="4"/>
        <v>25-29</v>
      </c>
      <c r="K72" t="str">
        <f t="shared" si="5"/>
        <v>5-10 LPA</v>
      </c>
      <c r="L72" t="str">
        <f t="shared" si="6"/>
        <v>0-2 Years</v>
      </c>
      <c r="M72">
        <f t="shared" si="7"/>
        <v>1</v>
      </c>
    </row>
    <row r="73" spans="1:13" x14ac:dyDescent="0.25">
      <c r="A73" t="s">
        <v>208</v>
      </c>
      <c r="B73">
        <v>25</v>
      </c>
      <c r="C73">
        <v>752660</v>
      </c>
      <c r="D73">
        <v>0</v>
      </c>
      <c r="E73" t="s">
        <v>25</v>
      </c>
      <c r="F73">
        <v>3</v>
      </c>
      <c r="G73" t="s">
        <v>16</v>
      </c>
      <c r="H73" t="s">
        <v>23</v>
      </c>
      <c r="I73" t="s">
        <v>14</v>
      </c>
      <c r="J73" t="str">
        <f t="shared" si="4"/>
        <v>25-29</v>
      </c>
      <c r="K73" t="str">
        <f t="shared" si="5"/>
        <v>5-10 LPA</v>
      </c>
      <c r="L73" t="str">
        <f t="shared" si="6"/>
        <v>0-2 Years</v>
      </c>
      <c r="M73">
        <f t="shared" si="7"/>
        <v>0</v>
      </c>
    </row>
    <row r="74" spans="1:13" x14ac:dyDescent="0.25">
      <c r="A74" t="s">
        <v>210</v>
      </c>
      <c r="B74">
        <v>25</v>
      </c>
      <c r="C74">
        <v>1232854</v>
      </c>
      <c r="D74">
        <v>2</v>
      </c>
      <c r="E74" t="s">
        <v>19</v>
      </c>
      <c r="F74">
        <v>2</v>
      </c>
      <c r="G74" t="s">
        <v>32</v>
      </c>
      <c r="H74" t="s">
        <v>50</v>
      </c>
      <c r="I74" t="s">
        <v>22</v>
      </c>
      <c r="J74" t="str">
        <f t="shared" si="4"/>
        <v>25-29</v>
      </c>
      <c r="K74" t="str">
        <f t="shared" si="5"/>
        <v>10-15 LPA</v>
      </c>
      <c r="L74" t="str">
        <f t="shared" si="6"/>
        <v>0-2 Years</v>
      </c>
      <c r="M74">
        <f t="shared" si="7"/>
        <v>1</v>
      </c>
    </row>
    <row r="75" spans="1:13" x14ac:dyDescent="0.25">
      <c r="A75" t="s">
        <v>212</v>
      </c>
      <c r="B75">
        <v>43</v>
      </c>
      <c r="C75">
        <v>1451847</v>
      </c>
      <c r="D75">
        <v>14</v>
      </c>
      <c r="E75" t="s">
        <v>25</v>
      </c>
      <c r="F75">
        <v>3</v>
      </c>
      <c r="G75" t="s">
        <v>136</v>
      </c>
      <c r="H75" t="s">
        <v>45</v>
      </c>
      <c r="I75" t="s">
        <v>14</v>
      </c>
      <c r="J75" t="str">
        <f t="shared" si="4"/>
        <v>40-49</v>
      </c>
      <c r="K75" t="str">
        <f t="shared" si="5"/>
        <v>10-15 LPA</v>
      </c>
      <c r="L75" t="str">
        <f t="shared" si="6"/>
        <v>10+ Years</v>
      </c>
      <c r="M75">
        <f t="shared" si="7"/>
        <v>0</v>
      </c>
    </row>
    <row r="76" spans="1:13" x14ac:dyDescent="0.25">
      <c r="A76" t="s">
        <v>214</v>
      </c>
      <c r="B76">
        <v>28</v>
      </c>
      <c r="C76">
        <v>620427</v>
      </c>
      <c r="D76">
        <v>1</v>
      </c>
      <c r="E76" t="s">
        <v>19</v>
      </c>
      <c r="F76">
        <v>4</v>
      </c>
      <c r="G76" t="s">
        <v>16</v>
      </c>
      <c r="H76" t="s">
        <v>78</v>
      </c>
      <c r="I76" t="s">
        <v>14</v>
      </c>
      <c r="J76" t="str">
        <f t="shared" si="4"/>
        <v>25-29</v>
      </c>
      <c r="K76" t="str">
        <f t="shared" si="5"/>
        <v>5-10 LPA</v>
      </c>
      <c r="L76" t="str">
        <f t="shared" si="6"/>
        <v>0-2 Years</v>
      </c>
      <c r="M76">
        <f t="shared" si="7"/>
        <v>1</v>
      </c>
    </row>
    <row r="77" spans="1:13" x14ac:dyDescent="0.25">
      <c r="A77" t="s">
        <v>216</v>
      </c>
      <c r="B77">
        <v>28</v>
      </c>
      <c r="C77">
        <v>975478</v>
      </c>
      <c r="D77">
        <v>4</v>
      </c>
      <c r="E77" t="s">
        <v>25</v>
      </c>
      <c r="F77">
        <v>5</v>
      </c>
      <c r="G77" t="s">
        <v>16</v>
      </c>
      <c r="H77" t="s">
        <v>39</v>
      </c>
      <c r="I77" t="s">
        <v>14</v>
      </c>
      <c r="J77" t="str">
        <f t="shared" si="4"/>
        <v>25-29</v>
      </c>
      <c r="K77" t="str">
        <f t="shared" si="5"/>
        <v>5-10 LPA</v>
      </c>
      <c r="L77" t="str">
        <f t="shared" si="6"/>
        <v>3-5 Years</v>
      </c>
      <c r="M77">
        <f t="shared" si="7"/>
        <v>0</v>
      </c>
    </row>
    <row r="78" spans="1:13" x14ac:dyDescent="0.25">
      <c r="A78" t="s">
        <v>218</v>
      </c>
      <c r="B78">
        <v>26</v>
      </c>
      <c r="C78">
        <v>1881398</v>
      </c>
      <c r="D78">
        <v>1</v>
      </c>
      <c r="E78" t="s">
        <v>25</v>
      </c>
      <c r="F78">
        <v>3</v>
      </c>
      <c r="G78" t="s">
        <v>32</v>
      </c>
      <c r="H78" t="s">
        <v>31</v>
      </c>
      <c r="I78" t="s">
        <v>22</v>
      </c>
      <c r="J78" t="str">
        <f t="shared" si="4"/>
        <v>25-29</v>
      </c>
      <c r="K78" t="str">
        <f t="shared" si="5"/>
        <v>15+ LPA</v>
      </c>
      <c r="L78" t="str">
        <f t="shared" si="6"/>
        <v>0-2 Years</v>
      </c>
      <c r="M78">
        <f t="shared" si="7"/>
        <v>0</v>
      </c>
    </row>
    <row r="79" spans="1:13" x14ac:dyDescent="0.25">
      <c r="A79" t="s">
        <v>219</v>
      </c>
      <c r="B79">
        <v>43</v>
      </c>
      <c r="C79">
        <v>1355060</v>
      </c>
      <c r="D79">
        <v>9</v>
      </c>
      <c r="E79" t="s">
        <v>25</v>
      </c>
      <c r="F79">
        <v>2</v>
      </c>
      <c r="G79" t="s">
        <v>32</v>
      </c>
      <c r="H79" t="s">
        <v>78</v>
      </c>
      <c r="I79" t="s">
        <v>14</v>
      </c>
      <c r="J79" t="str">
        <f t="shared" si="4"/>
        <v>40-49</v>
      </c>
      <c r="K79" t="str">
        <f t="shared" si="5"/>
        <v>10-15 LPA</v>
      </c>
      <c r="L79" t="str">
        <f t="shared" si="6"/>
        <v>6-10 Years</v>
      </c>
      <c r="M79">
        <f t="shared" si="7"/>
        <v>0</v>
      </c>
    </row>
    <row r="80" spans="1:13" x14ac:dyDescent="0.25">
      <c r="A80" t="s">
        <v>222</v>
      </c>
      <c r="B80">
        <v>24</v>
      </c>
      <c r="C80">
        <v>1046630</v>
      </c>
      <c r="D80">
        <v>2</v>
      </c>
      <c r="E80" t="s">
        <v>19</v>
      </c>
      <c r="F80">
        <v>2</v>
      </c>
      <c r="G80" t="s">
        <v>32</v>
      </c>
      <c r="H80" t="s">
        <v>15</v>
      </c>
      <c r="I80" t="s">
        <v>14</v>
      </c>
      <c r="J80" t="str">
        <f t="shared" si="4"/>
        <v>21-24</v>
      </c>
      <c r="K80" t="str">
        <f t="shared" si="5"/>
        <v>10-15 LPA</v>
      </c>
      <c r="L80" t="str">
        <f t="shared" si="6"/>
        <v>0-2 Years</v>
      </c>
      <c r="M80">
        <f t="shared" si="7"/>
        <v>1</v>
      </c>
    </row>
    <row r="81" spans="1:13" x14ac:dyDescent="0.25">
      <c r="A81" t="s">
        <v>224</v>
      </c>
      <c r="B81">
        <v>29</v>
      </c>
      <c r="C81">
        <v>863079</v>
      </c>
      <c r="D81">
        <v>7</v>
      </c>
      <c r="E81" t="s">
        <v>25</v>
      </c>
      <c r="F81">
        <v>4</v>
      </c>
      <c r="G81" t="s">
        <v>40</v>
      </c>
      <c r="H81" t="s">
        <v>15</v>
      </c>
      <c r="I81" t="s">
        <v>22</v>
      </c>
      <c r="J81" t="str">
        <f t="shared" si="4"/>
        <v>25-29</v>
      </c>
      <c r="K81" t="str">
        <f t="shared" si="5"/>
        <v>5-10 LPA</v>
      </c>
      <c r="L81" t="str">
        <f t="shared" si="6"/>
        <v>6-10 Years</v>
      </c>
      <c r="M81">
        <f t="shared" si="7"/>
        <v>0</v>
      </c>
    </row>
    <row r="82" spans="1:13" x14ac:dyDescent="0.25">
      <c r="A82" t="s">
        <v>226</v>
      </c>
      <c r="B82">
        <v>21</v>
      </c>
      <c r="C82">
        <v>1290275</v>
      </c>
      <c r="D82">
        <v>0</v>
      </c>
      <c r="E82" t="s">
        <v>19</v>
      </c>
      <c r="F82">
        <v>2</v>
      </c>
      <c r="G82" t="s">
        <v>46</v>
      </c>
      <c r="H82" t="s">
        <v>23</v>
      </c>
      <c r="I82" t="s">
        <v>14</v>
      </c>
      <c r="J82" t="str">
        <f t="shared" si="4"/>
        <v>21-24</v>
      </c>
      <c r="K82" t="str">
        <f t="shared" si="5"/>
        <v>10-15 LPA</v>
      </c>
      <c r="L82" t="str">
        <f t="shared" si="6"/>
        <v>0-2 Years</v>
      </c>
      <c r="M82">
        <f t="shared" si="7"/>
        <v>1</v>
      </c>
    </row>
    <row r="83" spans="1:13" x14ac:dyDescent="0.25">
      <c r="A83" t="s">
        <v>228</v>
      </c>
      <c r="B83">
        <v>32</v>
      </c>
      <c r="C83">
        <v>1177897</v>
      </c>
      <c r="D83">
        <v>9</v>
      </c>
      <c r="E83" t="s">
        <v>25</v>
      </c>
      <c r="F83">
        <v>3</v>
      </c>
      <c r="G83" t="s">
        <v>16</v>
      </c>
      <c r="H83" t="s">
        <v>23</v>
      </c>
      <c r="I83" t="s">
        <v>22</v>
      </c>
      <c r="J83" t="str">
        <f t="shared" si="4"/>
        <v>30-39</v>
      </c>
      <c r="K83" t="str">
        <f t="shared" si="5"/>
        <v>10-15 LPA</v>
      </c>
      <c r="L83" t="str">
        <f t="shared" si="6"/>
        <v>6-10 Years</v>
      </c>
      <c r="M83">
        <f t="shared" si="7"/>
        <v>0</v>
      </c>
    </row>
    <row r="84" spans="1:13" x14ac:dyDescent="0.25">
      <c r="A84" t="s">
        <v>230</v>
      </c>
      <c r="B84">
        <v>35</v>
      </c>
      <c r="C84">
        <v>1878181</v>
      </c>
      <c r="D84">
        <v>10</v>
      </c>
      <c r="E84" t="s">
        <v>25</v>
      </c>
      <c r="F84">
        <v>4</v>
      </c>
      <c r="G84" t="s">
        <v>32</v>
      </c>
      <c r="H84" t="s">
        <v>15</v>
      </c>
      <c r="I84" t="s">
        <v>14</v>
      </c>
      <c r="J84" t="str">
        <f t="shared" si="4"/>
        <v>30-39</v>
      </c>
      <c r="K84" t="str">
        <f t="shared" si="5"/>
        <v>15+ LPA</v>
      </c>
      <c r="L84" t="str">
        <f t="shared" si="6"/>
        <v>6-10 Years</v>
      </c>
      <c r="M84">
        <f t="shared" si="7"/>
        <v>0</v>
      </c>
    </row>
    <row r="85" spans="1:13" x14ac:dyDescent="0.25">
      <c r="A85" t="s">
        <v>232</v>
      </c>
      <c r="B85">
        <v>38</v>
      </c>
      <c r="C85">
        <v>848363</v>
      </c>
      <c r="D85">
        <v>3</v>
      </c>
      <c r="E85" t="s">
        <v>25</v>
      </c>
      <c r="F85">
        <v>3</v>
      </c>
      <c r="G85" t="s">
        <v>54</v>
      </c>
      <c r="H85" t="s">
        <v>15</v>
      </c>
      <c r="I85" t="s">
        <v>14</v>
      </c>
      <c r="J85" t="str">
        <f t="shared" si="4"/>
        <v>30-39</v>
      </c>
      <c r="K85" t="str">
        <f t="shared" si="5"/>
        <v>5-10 LPA</v>
      </c>
      <c r="L85" t="str">
        <f t="shared" si="6"/>
        <v>3-5 Years</v>
      </c>
      <c r="M85">
        <f t="shared" si="7"/>
        <v>0</v>
      </c>
    </row>
    <row r="86" spans="1:13" x14ac:dyDescent="0.25">
      <c r="A86" t="s">
        <v>234</v>
      </c>
      <c r="B86">
        <v>38</v>
      </c>
      <c r="C86">
        <v>1872367</v>
      </c>
      <c r="D86">
        <v>9</v>
      </c>
      <c r="E86" t="s">
        <v>25</v>
      </c>
      <c r="F86">
        <v>3</v>
      </c>
      <c r="G86" t="s">
        <v>32</v>
      </c>
      <c r="H86" t="s">
        <v>28</v>
      </c>
      <c r="I86" t="s">
        <v>14</v>
      </c>
      <c r="J86" t="str">
        <f t="shared" si="4"/>
        <v>30-39</v>
      </c>
      <c r="K86" t="str">
        <f t="shared" si="5"/>
        <v>15+ LPA</v>
      </c>
      <c r="L86" t="str">
        <f t="shared" si="6"/>
        <v>6-10 Years</v>
      </c>
      <c r="M86">
        <f t="shared" si="7"/>
        <v>0</v>
      </c>
    </row>
    <row r="87" spans="1:13" x14ac:dyDescent="0.25">
      <c r="A87" t="s">
        <v>236</v>
      </c>
      <c r="B87">
        <v>35</v>
      </c>
      <c r="C87">
        <v>1139362</v>
      </c>
      <c r="D87">
        <v>9</v>
      </c>
      <c r="E87" t="s">
        <v>25</v>
      </c>
      <c r="F87">
        <v>2</v>
      </c>
      <c r="G87" t="s">
        <v>74</v>
      </c>
      <c r="H87" t="s">
        <v>28</v>
      </c>
      <c r="I87" t="s">
        <v>22</v>
      </c>
      <c r="J87" t="str">
        <f t="shared" si="4"/>
        <v>30-39</v>
      </c>
      <c r="K87" t="str">
        <f t="shared" si="5"/>
        <v>10-15 LPA</v>
      </c>
      <c r="L87" t="str">
        <f t="shared" si="6"/>
        <v>6-10 Years</v>
      </c>
      <c r="M87">
        <f t="shared" si="7"/>
        <v>0</v>
      </c>
    </row>
    <row r="88" spans="1:13" x14ac:dyDescent="0.25">
      <c r="A88" t="s">
        <v>239</v>
      </c>
      <c r="B88">
        <v>42</v>
      </c>
      <c r="C88">
        <v>1085827</v>
      </c>
      <c r="D88">
        <v>12</v>
      </c>
      <c r="E88" t="s">
        <v>19</v>
      </c>
      <c r="F88">
        <v>2</v>
      </c>
      <c r="G88" t="s">
        <v>74</v>
      </c>
      <c r="H88" t="s">
        <v>15</v>
      </c>
      <c r="I88" t="s">
        <v>14</v>
      </c>
      <c r="J88" t="str">
        <f t="shared" si="4"/>
        <v>40-49</v>
      </c>
      <c r="K88" t="str">
        <f t="shared" si="5"/>
        <v>10-15 LPA</v>
      </c>
      <c r="L88" t="str">
        <f t="shared" si="6"/>
        <v>10+ Years</v>
      </c>
      <c r="M88">
        <f t="shared" si="7"/>
        <v>1</v>
      </c>
    </row>
    <row r="89" spans="1:13" x14ac:dyDescent="0.25">
      <c r="A89" t="s">
        <v>241</v>
      </c>
      <c r="B89">
        <v>28</v>
      </c>
      <c r="C89">
        <v>1137007</v>
      </c>
      <c r="D89">
        <v>6</v>
      </c>
      <c r="E89" t="s">
        <v>25</v>
      </c>
      <c r="F89">
        <v>3</v>
      </c>
      <c r="G89" t="s">
        <v>54</v>
      </c>
      <c r="H89" t="s">
        <v>45</v>
      </c>
      <c r="I89" t="s">
        <v>22</v>
      </c>
      <c r="J89" t="str">
        <f t="shared" si="4"/>
        <v>25-29</v>
      </c>
      <c r="K89" t="str">
        <f t="shared" si="5"/>
        <v>10-15 LPA</v>
      </c>
      <c r="L89" t="str">
        <f t="shared" si="6"/>
        <v>6-10 Years</v>
      </c>
      <c r="M89">
        <f t="shared" si="7"/>
        <v>0</v>
      </c>
    </row>
    <row r="90" spans="1:13" x14ac:dyDescent="0.25">
      <c r="A90" t="s">
        <v>242</v>
      </c>
      <c r="B90">
        <v>33</v>
      </c>
      <c r="C90">
        <v>1061247</v>
      </c>
      <c r="D90">
        <v>9</v>
      </c>
      <c r="E90" t="s">
        <v>19</v>
      </c>
      <c r="F90">
        <v>3</v>
      </c>
      <c r="G90" t="s">
        <v>136</v>
      </c>
      <c r="H90" t="s">
        <v>85</v>
      </c>
      <c r="I90" t="s">
        <v>14</v>
      </c>
      <c r="J90" t="str">
        <f t="shared" si="4"/>
        <v>30-39</v>
      </c>
      <c r="K90" t="str">
        <f t="shared" si="5"/>
        <v>10-15 LPA</v>
      </c>
      <c r="L90" t="str">
        <f t="shared" si="6"/>
        <v>6-10 Years</v>
      </c>
      <c r="M90">
        <f t="shared" si="7"/>
        <v>1</v>
      </c>
    </row>
    <row r="91" spans="1:13" x14ac:dyDescent="0.25">
      <c r="A91" t="s">
        <v>244</v>
      </c>
      <c r="B91">
        <v>50</v>
      </c>
      <c r="C91">
        <v>1285318</v>
      </c>
      <c r="D91">
        <v>16</v>
      </c>
      <c r="E91" t="s">
        <v>25</v>
      </c>
      <c r="F91">
        <v>3</v>
      </c>
      <c r="G91" t="s">
        <v>54</v>
      </c>
      <c r="H91" t="s">
        <v>31</v>
      </c>
      <c r="I91" t="s">
        <v>22</v>
      </c>
      <c r="J91" t="str">
        <f t="shared" si="4"/>
        <v>50+</v>
      </c>
      <c r="K91" t="str">
        <f t="shared" si="5"/>
        <v>10-15 LPA</v>
      </c>
      <c r="L91" t="str">
        <f t="shared" si="6"/>
        <v>10+ Years</v>
      </c>
      <c r="M91">
        <f t="shared" si="7"/>
        <v>0</v>
      </c>
    </row>
    <row r="92" spans="1:13" x14ac:dyDescent="0.25">
      <c r="A92" t="s">
        <v>245</v>
      </c>
      <c r="B92">
        <v>22</v>
      </c>
      <c r="C92">
        <v>661879</v>
      </c>
      <c r="D92">
        <v>1</v>
      </c>
      <c r="E92" t="s">
        <v>25</v>
      </c>
      <c r="F92">
        <v>2</v>
      </c>
      <c r="G92" t="s">
        <v>54</v>
      </c>
      <c r="H92" t="s">
        <v>28</v>
      </c>
      <c r="I92" t="s">
        <v>14</v>
      </c>
      <c r="J92" t="str">
        <f t="shared" si="4"/>
        <v>21-24</v>
      </c>
      <c r="K92" t="str">
        <f t="shared" si="5"/>
        <v>5-10 LPA</v>
      </c>
      <c r="L92" t="str">
        <f t="shared" si="6"/>
        <v>0-2 Years</v>
      </c>
      <c r="M92">
        <f t="shared" si="7"/>
        <v>0</v>
      </c>
    </row>
    <row r="93" spans="1:13" x14ac:dyDescent="0.25">
      <c r="A93" t="s">
        <v>247</v>
      </c>
      <c r="B93">
        <v>37</v>
      </c>
      <c r="C93">
        <v>1570977</v>
      </c>
      <c r="D93">
        <v>8</v>
      </c>
      <c r="E93" t="s">
        <v>25</v>
      </c>
      <c r="F93">
        <v>2</v>
      </c>
      <c r="G93" t="s">
        <v>32</v>
      </c>
      <c r="H93" t="s">
        <v>78</v>
      </c>
      <c r="I93" t="s">
        <v>22</v>
      </c>
      <c r="J93" t="str">
        <f t="shared" si="4"/>
        <v>30-39</v>
      </c>
      <c r="K93" t="str">
        <f t="shared" si="5"/>
        <v>15+ LPA</v>
      </c>
      <c r="L93" t="str">
        <f t="shared" si="6"/>
        <v>6-10 Years</v>
      </c>
      <c r="M93">
        <f t="shared" si="7"/>
        <v>0</v>
      </c>
    </row>
    <row r="94" spans="1:13" x14ac:dyDescent="0.25">
      <c r="A94" t="s">
        <v>249</v>
      </c>
      <c r="B94">
        <v>37</v>
      </c>
      <c r="C94">
        <v>684311</v>
      </c>
      <c r="D94">
        <v>1</v>
      </c>
      <c r="E94" t="s">
        <v>19</v>
      </c>
      <c r="F94">
        <v>3</v>
      </c>
      <c r="G94" t="s">
        <v>74</v>
      </c>
      <c r="H94" t="s">
        <v>23</v>
      </c>
      <c r="I94" t="s">
        <v>22</v>
      </c>
      <c r="J94" t="str">
        <f t="shared" si="4"/>
        <v>30-39</v>
      </c>
      <c r="K94" t="str">
        <f t="shared" si="5"/>
        <v>5-10 LPA</v>
      </c>
      <c r="L94" t="str">
        <f t="shared" si="6"/>
        <v>0-2 Years</v>
      </c>
      <c r="M94">
        <f t="shared" si="7"/>
        <v>1</v>
      </c>
    </row>
    <row r="95" spans="1:13" x14ac:dyDescent="0.25">
      <c r="A95" t="s">
        <v>252</v>
      </c>
      <c r="B95">
        <v>26</v>
      </c>
      <c r="C95">
        <v>1177954</v>
      </c>
      <c r="D95">
        <v>2</v>
      </c>
      <c r="E95" t="s">
        <v>25</v>
      </c>
      <c r="F95">
        <v>4</v>
      </c>
      <c r="G95" t="s">
        <v>32</v>
      </c>
      <c r="H95" t="s">
        <v>85</v>
      </c>
      <c r="I95" t="s">
        <v>14</v>
      </c>
      <c r="J95" t="str">
        <f t="shared" si="4"/>
        <v>25-29</v>
      </c>
      <c r="K95" t="str">
        <f t="shared" si="5"/>
        <v>10-15 LPA</v>
      </c>
      <c r="L95" t="str">
        <f t="shared" si="6"/>
        <v>0-2 Years</v>
      </c>
      <c r="M95">
        <f t="shared" si="7"/>
        <v>0</v>
      </c>
    </row>
    <row r="96" spans="1:13" x14ac:dyDescent="0.25">
      <c r="A96" t="s">
        <v>254</v>
      </c>
      <c r="B96">
        <v>24</v>
      </c>
      <c r="C96">
        <v>1013080</v>
      </c>
      <c r="D96">
        <v>3</v>
      </c>
      <c r="E96" t="s">
        <v>25</v>
      </c>
      <c r="F96">
        <v>5</v>
      </c>
      <c r="G96" t="s">
        <v>46</v>
      </c>
      <c r="H96" t="s">
        <v>45</v>
      </c>
      <c r="I96" t="s">
        <v>22</v>
      </c>
      <c r="J96" t="str">
        <f t="shared" si="4"/>
        <v>21-24</v>
      </c>
      <c r="K96" t="str">
        <f t="shared" si="5"/>
        <v>10-15 LPA</v>
      </c>
      <c r="L96" t="str">
        <f t="shared" si="6"/>
        <v>3-5 Years</v>
      </c>
      <c r="M96">
        <f t="shared" si="7"/>
        <v>0</v>
      </c>
    </row>
    <row r="97" spans="1:13" x14ac:dyDescent="0.25">
      <c r="A97" t="s">
        <v>256</v>
      </c>
      <c r="B97">
        <v>30</v>
      </c>
      <c r="C97">
        <v>627828</v>
      </c>
      <c r="D97">
        <v>4</v>
      </c>
      <c r="E97" t="s">
        <v>25</v>
      </c>
      <c r="F97">
        <v>3</v>
      </c>
      <c r="G97" t="s">
        <v>40</v>
      </c>
      <c r="H97" t="s">
        <v>78</v>
      </c>
      <c r="I97" t="s">
        <v>22</v>
      </c>
      <c r="J97" t="str">
        <f t="shared" si="4"/>
        <v>30-39</v>
      </c>
      <c r="K97" t="str">
        <f t="shared" si="5"/>
        <v>5-10 LPA</v>
      </c>
      <c r="L97" t="str">
        <f t="shared" si="6"/>
        <v>3-5 Years</v>
      </c>
      <c r="M97">
        <f t="shared" si="7"/>
        <v>0</v>
      </c>
    </row>
    <row r="98" spans="1:13" x14ac:dyDescent="0.25">
      <c r="A98" t="s">
        <v>258</v>
      </c>
      <c r="B98">
        <v>49</v>
      </c>
      <c r="C98">
        <v>1606972</v>
      </c>
      <c r="D98">
        <v>12</v>
      </c>
      <c r="E98" t="s">
        <v>25</v>
      </c>
      <c r="F98">
        <v>3</v>
      </c>
      <c r="G98" t="s">
        <v>66</v>
      </c>
      <c r="H98" t="s">
        <v>85</v>
      </c>
      <c r="I98" t="s">
        <v>14</v>
      </c>
      <c r="J98" t="str">
        <f t="shared" si="4"/>
        <v>40-49</v>
      </c>
      <c r="K98" t="str">
        <f t="shared" si="5"/>
        <v>15+ LPA</v>
      </c>
      <c r="L98" t="str">
        <f t="shared" si="6"/>
        <v>10+ Years</v>
      </c>
      <c r="M98">
        <f t="shared" si="7"/>
        <v>0</v>
      </c>
    </row>
    <row r="99" spans="1:13" x14ac:dyDescent="0.25">
      <c r="A99" t="s">
        <v>259</v>
      </c>
      <c r="B99">
        <v>21</v>
      </c>
      <c r="C99">
        <v>346570</v>
      </c>
      <c r="D99">
        <v>0</v>
      </c>
      <c r="E99" t="s">
        <v>19</v>
      </c>
      <c r="F99">
        <v>3</v>
      </c>
      <c r="G99" t="s">
        <v>74</v>
      </c>
      <c r="H99" t="s">
        <v>61</v>
      </c>
      <c r="I99" t="s">
        <v>14</v>
      </c>
      <c r="J99" t="str">
        <f t="shared" si="4"/>
        <v>21-24</v>
      </c>
      <c r="K99" t="str">
        <f t="shared" si="5"/>
        <v>Below 5 LPA</v>
      </c>
      <c r="L99" t="str">
        <f t="shared" si="6"/>
        <v>0-2 Years</v>
      </c>
      <c r="M99">
        <f t="shared" si="7"/>
        <v>1</v>
      </c>
    </row>
    <row r="100" spans="1:13" x14ac:dyDescent="0.25">
      <c r="A100" t="s">
        <v>261</v>
      </c>
      <c r="B100">
        <v>29</v>
      </c>
      <c r="C100">
        <v>921970</v>
      </c>
      <c r="D100">
        <v>4</v>
      </c>
      <c r="E100" t="s">
        <v>25</v>
      </c>
      <c r="F100">
        <v>3</v>
      </c>
      <c r="G100" t="s">
        <v>16</v>
      </c>
      <c r="H100" t="s">
        <v>78</v>
      </c>
      <c r="I100" t="s">
        <v>22</v>
      </c>
      <c r="J100" t="str">
        <f t="shared" si="4"/>
        <v>25-29</v>
      </c>
      <c r="K100" t="str">
        <f t="shared" si="5"/>
        <v>5-10 LPA</v>
      </c>
      <c r="L100" t="str">
        <f t="shared" si="6"/>
        <v>3-5 Years</v>
      </c>
      <c r="M100">
        <f t="shared" si="7"/>
        <v>0</v>
      </c>
    </row>
    <row r="101" spans="1:13" x14ac:dyDescent="0.25">
      <c r="A101" t="s">
        <v>263</v>
      </c>
      <c r="B101">
        <v>32</v>
      </c>
      <c r="C101">
        <v>1336543</v>
      </c>
      <c r="D101">
        <v>4</v>
      </c>
      <c r="E101" t="s">
        <v>25</v>
      </c>
      <c r="F101">
        <v>2</v>
      </c>
      <c r="G101" t="s">
        <v>32</v>
      </c>
      <c r="H101" t="s">
        <v>28</v>
      </c>
      <c r="I101" t="s">
        <v>22</v>
      </c>
      <c r="J101" t="str">
        <f t="shared" si="4"/>
        <v>30-39</v>
      </c>
      <c r="K101" t="str">
        <f t="shared" si="5"/>
        <v>10-15 LPA</v>
      </c>
      <c r="L101" t="str">
        <f t="shared" si="6"/>
        <v>3-5 Years</v>
      </c>
      <c r="M101">
        <f t="shared" si="7"/>
        <v>0</v>
      </c>
    </row>
    <row r="102" spans="1:13" x14ac:dyDescent="0.25">
      <c r="A102" t="s">
        <v>265</v>
      </c>
      <c r="B102">
        <v>33</v>
      </c>
      <c r="C102">
        <v>1025849</v>
      </c>
      <c r="D102">
        <v>7</v>
      </c>
      <c r="E102" t="s">
        <v>19</v>
      </c>
      <c r="F102">
        <v>4</v>
      </c>
      <c r="G102" t="s">
        <v>136</v>
      </c>
      <c r="H102" t="s">
        <v>15</v>
      </c>
      <c r="I102" t="s">
        <v>22</v>
      </c>
      <c r="J102" t="str">
        <f t="shared" si="4"/>
        <v>30-39</v>
      </c>
      <c r="K102" t="str">
        <f t="shared" si="5"/>
        <v>10-15 LPA</v>
      </c>
      <c r="L102" t="str">
        <f t="shared" si="6"/>
        <v>6-10 Years</v>
      </c>
      <c r="M102">
        <f t="shared" si="7"/>
        <v>1</v>
      </c>
    </row>
    <row r="103" spans="1:13" x14ac:dyDescent="0.25">
      <c r="A103" t="s">
        <v>267</v>
      </c>
      <c r="B103">
        <v>25</v>
      </c>
      <c r="C103">
        <v>792399</v>
      </c>
      <c r="D103">
        <v>3</v>
      </c>
      <c r="E103" t="s">
        <v>25</v>
      </c>
      <c r="F103">
        <v>4</v>
      </c>
      <c r="G103" t="s">
        <v>136</v>
      </c>
      <c r="H103" t="s">
        <v>31</v>
      </c>
      <c r="I103" t="s">
        <v>14</v>
      </c>
      <c r="J103" t="str">
        <f t="shared" si="4"/>
        <v>25-29</v>
      </c>
      <c r="K103" t="str">
        <f t="shared" si="5"/>
        <v>5-10 LPA</v>
      </c>
      <c r="L103" t="str">
        <f t="shared" si="6"/>
        <v>3-5 Years</v>
      </c>
      <c r="M103">
        <f t="shared" si="7"/>
        <v>0</v>
      </c>
    </row>
    <row r="104" spans="1:13" x14ac:dyDescent="0.25">
      <c r="A104" t="s">
        <v>269</v>
      </c>
      <c r="B104">
        <v>41</v>
      </c>
      <c r="C104">
        <v>907202</v>
      </c>
      <c r="D104">
        <v>5</v>
      </c>
      <c r="E104" t="s">
        <v>25</v>
      </c>
      <c r="F104">
        <v>3</v>
      </c>
      <c r="G104" t="s">
        <v>40</v>
      </c>
      <c r="H104" t="s">
        <v>23</v>
      </c>
      <c r="I104" t="s">
        <v>14</v>
      </c>
      <c r="J104" t="str">
        <f t="shared" si="4"/>
        <v>40-49</v>
      </c>
      <c r="K104" t="str">
        <f t="shared" si="5"/>
        <v>5-10 LPA</v>
      </c>
      <c r="L104" t="str">
        <f t="shared" si="6"/>
        <v>3-5 Years</v>
      </c>
      <c r="M104">
        <f t="shared" si="7"/>
        <v>0</v>
      </c>
    </row>
    <row r="105" spans="1:13" x14ac:dyDescent="0.25">
      <c r="A105" t="s">
        <v>271</v>
      </c>
      <c r="B105">
        <v>21</v>
      </c>
      <c r="C105">
        <v>560922</v>
      </c>
      <c r="D105">
        <v>0</v>
      </c>
      <c r="E105" t="s">
        <v>25</v>
      </c>
      <c r="F105">
        <v>4</v>
      </c>
      <c r="G105" t="s">
        <v>74</v>
      </c>
      <c r="H105" t="s">
        <v>15</v>
      </c>
      <c r="I105" t="s">
        <v>22</v>
      </c>
      <c r="J105" t="str">
        <f t="shared" si="4"/>
        <v>21-24</v>
      </c>
      <c r="K105" t="str">
        <f t="shared" si="5"/>
        <v>5-10 LPA</v>
      </c>
      <c r="L105" t="str">
        <f t="shared" si="6"/>
        <v>0-2 Years</v>
      </c>
      <c r="M105">
        <f t="shared" si="7"/>
        <v>0</v>
      </c>
    </row>
    <row r="106" spans="1:13" x14ac:dyDescent="0.25">
      <c r="A106" t="s">
        <v>273</v>
      </c>
      <c r="B106">
        <v>47</v>
      </c>
      <c r="C106">
        <v>1104039</v>
      </c>
      <c r="D106">
        <v>16</v>
      </c>
      <c r="E106" t="s">
        <v>19</v>
      </c>
      <c r="F106">
        <v>3</v>
      </c>
      <c r="G106" t="s">
        <v>40</v>
      </c>
      <c r="H106" t="s">
        <v>45</v>
      </c>
      <c r="I106" t="s">
        <v>14</v>
      </c>
      <c r="J106" t="str">
        <f t="shared" si="4"/>
        <v>40-49</v>
      </c>
      <c r="K106" t="str">
        <f t="shared" si="5"/>
        <v>10-15 LPA</v>
      </c>
      <c r="L106" t="str">
        <f t="shared" si="6"/>
        <v>10+ Years</v>
      </c>
      <c r="M106">
        <f t="shared" si="7"/>
        <v>1</v>
      </c>
    </row>
    <row r="107" spans="1:13" x14ac:dyDescent="0.25">
      <c r="A107" t="s">
        <v>275</v>
      </c>
      <c r="B107">
        <v>32</v>
      </c>
      <c r="C107">
        <v>1044446</v>
      </c>
      <c r="D107">
        <v>6</v>
      </c>
      <c r="E107" t="s">
        <v>25</v>
      </c>
      <c r="F107">
        <v>3</v>
      </c>
      <c r="G107" t="s">
        <v>40</v>
      </c>
      <c r="H107" t="s">
        <v>39</v>
      </c>
      <c r="I107" t="s">
        <v>22</v>
      </c>
      <c r="J107" t="str">
        <f t="shared" si="4"/>
        <v>30-39</v>
      </c>
      <c r="K107" t="str">
        <f t="shared" si="5"/>
        <v>10-15 LPA</v>
      </c>
      <c r="L107" t="str">
        <f t="shared" si="6"/>
        <v>6-10 Years</v>
      </c>
      <c r="M107">
        <f t="shared" si="7"/>
        <v>0</v>
      </c>
    </row>
    <row r="108" spans="1:13" x14ac:dyDescent="0.25">
      <c r="A108" t="s">
        <v>277</v>
      </c>
      <c r="B108">
        <v>43</v>
      </c>
      <c r="C108">
        <v>2158270</v>
      </c>
      <c r="D108">
        <v>16</v>
      </c>
      <c r="E108" t="s">
        <v>25</v>
      </c>
      <c r="F108">
        <v>3</v>
      </c>
      <c r="G108" t="s">
        <v>32</v>
      </c>
      <c r="H108" t="s">
        <v>39</v>
      </c>
      <c r="I108" t="s">
        <v>14</v>
      </c>
      <c r="J108" t="str">
        <f t="shared" si="4"/>
        <v>40-49</v>
      </c>
      <c r="K108" t="str">
        <f t="shared" si="5"/>
        <v>15+ LPA</v>
      </c>
      <c r="L108" t="str">
        <f t="shared" si="6"/>
        <v>10+ Years</v>
      </c>
      <c r="M108">
        <f t="shared" si="7"/>
        <v>0</v>
      </c>
    </row>
    <row r="109" spans="1:13" x14ac:dyDescent="0.25">
      <c r="A109" t="s">
        <v>279</v>
      </c>
      <c r="B109">
        <v>37</v>
      </c>
      <c r="C109">
        <v>1104683</v>
      </c>
      <c r="D109">
        <v>10</v>
      </c>
      <c r="E109" t="s">
        <v>25</v>
      </c>
      <c r="F109">
        <v>3</v>
      </c>
      <c r="G109" t="s">
        <v>16</v>
      </c>
      <c r="H109" t="s">
        <v>45</v>
      </c>
      <c r="I109" t="s">
        <v>14</v>
      </c>
      <c r="J109" t="str">
        <f t="shared" si="4"/>
        <v>30-39</v>
      </c>
      <c r="K109" t="str">
        <f t="shared" si="5"/>
        <v>10-15 LPA</v>
      </c>
      <c r="L109" t="str">
        <f t="shared" si="6"/>
        <v>6-10 Years</v>
      </c>
      <c r="M109">
        <f t="shared" si="7"/>
        <v>0</v>
      </c>
    </row>
    <row r="110" spans="1:13" x14ac:dyDescent="0.25">
      <c r="A110" t="s">
        <v>281</v>
      </c>
      <c r="B110">
        <v>41</v>
      </c>
      <c r="C110">
        <v>1117318</v>
      </c>
      <c r="D110">
        <v>8</v>
      </c>
      <c r="E110" t="s">
        <v>25</v>
      </c>
      <c r="F110">
        <v>4</v>
      </c>
      <c r="G110" t="s">
        <v>40</v>
      </c>
      <c r="H110" t="s">
        <v>45</v>
      </c>
      <c r="I110" t="s">
        <v>14</v>
      </c>
      <c r="J110" t="str">
        <f t="shared" si="4"/>
        <v>40-49</v>
      </c>
      <c r="K110" t="str">
        <f t="shared" si="5"/>
        <v>10-15 LPA</v>
      </c>
      <c r="L110" t="str">
        <f t="shared" si="6"/>
        <v>6-10 Years</v>
      </c>
      <c r="M110">
        <f t="shared" si="7"/>
        <v>0</v>
      </c>
    </row>
    <row r="111" spans="1:13" x14ac:dyDescent="0.25">
      <c r="A111" t="s">
        <v>283</v>
      </c>
      <c r="B111">
        <v>29</v>
      </c>
      <c r="C111">
        <v>1070980</v>
      </c>
      <c r="D111">
        <v>2</v>
      </c>
      <c r="E111" t="s">
        <v>25</v>
      </c>
      <c r="F111">
        <v>3</v>
      </c>
      <c r="G111" t="s">
        <v>32</v>
      </c>
      <c r="H111" t="s">
        <v>78</v>
      </c>
      <c r="I111" t="s">
        <v>14</v>
      </c>
      <c r="J111" t="str">
        <f t="shared" si="4"/>
        <v>25-29</v>
      </c>
      <c r="K111" t="str">
        <f t="shared" si="5"/>
        <v>10-15 LPA</v>
      </c>
      <c r="L111" t="str">
        <f t="shared" si="6"/>
        <v>0-2 Years</v>
      </c>
      <c r="M111">
        <f t="shared" si="7"/>
        <v>0</v>
      </c>
    </row>
    <row r="112" spans="1:13" x14ac:dyDescent="0.25">
      <c r="A112" t="s">
        <v>285</v>
      </c>
      <c r="B112">
        <v>33</v>
      </c>
      <c r="C112">
        <v>1054784</v>
      </c>
      <c r="D112">
        <v>5</v>
      </c>
      <c r="E112" t="s">
        <v>25</v>
      </c>
      <c r="F112">
        <v>4</v>
      </c>
      <c r="G112" t="s">
        <v>32</v>
      </c>
      <c r="H112" t="s">
        <v>15</v>
      </c>
      <c r="I112" t="s">
        <v>14</v>
      </c>
      <c r="J112" t="str">
        <f t="shared" si="4"/>
        <v>30-39</v>
      </c>
      <c r="K112" t="str">
        <f t="shared" si="5"/>
        <v>10-15 LPA</v>
      </c>
      <c r="L112" t="str">
        <f t="shared" si="6"/>
        <v>3-5 Years</v>
      </c>
      <c r="M112">
        <f t="shared" si="7"/>
        <v>0</v>
      </c>
    </row>
    <row r="113" spans="1:13" x14ac:dyDescent="0.25">
      <c r="A113" t="s">
        <v>287</v>
      </c>
      <c r="B113">
        <v>29</v>
      </c>
      <c r="C113">
        <v>1036679</v>
      </c>
      <c r="D113">
        <v>6</v>
      </c>
      <c r="E113" t="s">
        <v>25</v>
      </c>
      <c r="F113">
        <v>4</v>
      </c>
      <c r="G113" t="s">
        <v>136</v>
      </c>
      <c r="H113" t="s">
        <v>15</v>
      </c>
      <c r="I113" t="s">
        <v>22</v>
      </c>
      <c r="J113" t="str">
        <f t="shared" si="4"/>
        <v>25-29</v>
      </c>
      <c r="K113" t="str">
        <f t="shared" si="5"/>
        <v>10-15 LPA</v>
      </c>
      <c r="L113" t="str">
        <f t="shared" si="6"/>
        <v>6-10 Years</v>
      </c>
      <c r="M113">
        <f t="shared" si="7"/>
        <v>0</v>
      </c>
    </row>
    <row r="114" spans="1:13" x14ac:dyDescent="0.25">
      <c r="A114" t="s">
        <v>289</v>
      </c>
      <c r="B114">
        <v>22</v>
      </c>
      <c r="C114">
        <v>1626002</v>
      </c>
      <c r="D114">
        <v>0</v>
      </c>
      <c r="E114" t="s">
        <v>25</v>
      </c>
      <c r="F114">
        <v>3</v>
      </c>
      <c r="G114" t="s">
        <v>32</v>
      </c>
      <c r="H114" t="s">
        <v>45</v>
      </c>
      <c r="I114" t="s">
        <v>22</v>
      </c>
      <c r="J114" t="str">
        <f t="shared" si="4"/>
        <v>21-24</v>
      </c>
      <c r="K114" t="str">
        <f t="shared" si="5"/>
        <v>15+ LPA</v>
      </c>
      <c r="L114" t="str">
        <f t="shared" si="6"/>
        <v>0-2 Years</v>
      </c>
      <c r="M114">
        <f t="shared" si="7"/>
        <v>0</v>
      </c>
    </row>
    <row r="115" spans="1:13" x14ac:dyDescent="0.25">
      <c r="A115" t="s">
        <v>291</v>
      </c>
      <c r="B115">
        <v>36</v>
      </c>
      <c r="C115">
        <v>660513</v>
      </c>
      <c r="D115">
        <v>8</v>
      </c>
      <c r="E115" t="s">
        <v>19</v>
      </c>
      <c r="F115">
        <v>4</v>
      </c>
      <c r="G115" t="s">
        <v>40</v>
      </c>
      <c r="H115" t="s">
        <v>39</v>
      </c>
      <c r="I115" t="s">
        <v>22</v>
      </c>
      <c r="J115" t="str">
        <f t="shared" si="4"/>
        <v>30-39</v>
      </c>
      <c r="K115" t="str">
        <f t="shared" si="5"/>
        <v>5-10 LPA</v>
      </c>
      <c r="L115" t="str">
        <f t="shared" si="6"/>
        <v>6-10 Years</v>
      </c>
      <c r="M115">
        <f t="shared" si="7"/>
        <v>1</v>
      </c>
    </row>
    <row r="116" spans="1:13" x14ac:dyDescent="0.25">
      <c r="A116" t="s">
        <v>293</v>
      </c>
      <c r="B116">
        <v>37</v>
      </c>
      <c r="C116">
        <v>1195197</v>
      </c>
      <c r="D116">
        <v>9</v>
      </c>
      <c r="E116" t="s">
        <v>25</v>
      </c>
      <c r="F116">
        <v>5</v>
      </c>
      <c r="G116" t="s">
        <v>66</v>
      </c>
      <c r="H116" t="s">
        <v>28</v>
      </c>
      <c r="I116" t="s">
        <v>22</v>
      </c>
      <c r="J116" t="str">
        <f t="shared" si="4"/>
        <v>30-39</v>
      </c>
      <c r="K116" t="str">
        <f t="shared" si="5"/>
        <v>10-15 LPA</v>
      </c>
      <c r="L116" t="str">
        <f t="shared" si="6"/>
        <v>6-10 Years</v>
      </c>
      <c r="M116">
        <f t="shared" si="7"/>
        <v>0</v>
      </c>
    </row>
    <row r="117" spans="1:13" x14ac:dyDescent="0.25">
      <c r="A117" t="s">
        <v>295</v>
      </c>
      <c r="B117">
        <v>30</v>
      </c>
      <c r="C117">
        <v>970178</v>
      </c>
      <c r="D117">
        <v>5</v>
      </c>
      <c r="E117" t="s">
        <v>25</v>
      </c>
      <c r="F117">
        <v>1</v>
      </c>
      <c r="G117" t="s">
        <v>40</v>
      </c>
      <c r="H117" t="s">
        <v>45</v>
      </c>
      <c r="I117" t="s">
        <v>14</v>
      </c>
      <c r="J117" t="str">
        <f t="shared" si="4"/>
        <v>30-39</v>
      </c>
      <c r="K117" t="str">
        <f t="shared" si="5"/>
        <v>5-10 LPA</v>
      </c>
      <c r="L117" t="str">
        <f t="shared" si="6"/>
        <v>3-5 Years</v>
      </c>
      <c r="M117">
        <f t="shared" si="7"/>
        <v>0</v>
      </c>
    </row>
    <row r="118" spans="1:13" x14ac:dyDescent="0.25">
      <c r="A118" t="s">
        <v>297</v>
      </c>
      <c r="B118">
        <v>24</v>
      </c>
      <c r="C118">
        <v>1047131</v>
      </c>
      <c r="D118">
        <v>3</v>
      </c>
      <c r="E118" t="s">
        <v>25</v>
      </c>
      <c r="F118">
        <v>4</v>
      </c>
      <c r="G118" t="s">
        <v>54</v>
      </c>
      <c r="H118" t="s">
        <v>61</v>
      </c>
      <c r="I118" t="s">
        <v>14</v>
      </c>
      <c r="J118" t="str">
        <f t="shared" si="4"/>
        <v>21-24</v>
      </c>
      <c r="K118" t="str">
        <f t="shared" si="5"/>
        <v>10-15 LPA</v>
      </c>
      <c r="L118" t="str">
        <f t="shared" si="6"/>
        <v>3-5 Years</v>
      </c>
      <c r="M118">
        <f t="shared" si="7"/>
        <v>0</v>
      </c>
    </row>
    <row r="119" spans="1:13" x14ac:dyDescent="0.25">
      <c r="A119" t="s">
        <v>299</v>
      </c>
      <c r="B119">
        <v>21</v>
      </c>
      <c r="C119">
        <v>580066</v>
      </c>
      <c r="D119">
        <v>0</v>
      </c>
      <c r="E119" t="s">
        <v>19</v>
      </c>
      <c r="F119">
        <v>4</v>
      </c>
      <c r="G119" t="s">
        <v>40</v>
      </c>
      <c r="H119" t="s">
        <v>85</v>
      </c>
      <c r="I119" t="s">
        <v>22</v>
      </c>
      <c r="J119" t="str">
        <f t="shared" si="4"/>
        <v>21-24</v>
      </c>
      <c r="K119" t="str">
        <f t="shared" si="5"/>
        <v>5-10 LPA</v>
      </c>
      <c r="L119" t="str">
        <f t="shared" si="6"/>
        <v>0-2 Years</v>
      </c>
      <c r="M119">
        <f t="shared" si="7"/>
        <v>1</v>
      </c>
    </row>
    <row r="120" spans="1:13" x14ac:dyDescent="0.25">
      <c r="A120" t="s">
        <v>301</v>
      </c>
      <c r="B120">
        <v>36</v>
      </c>
      <c r="C120">
        <v>970085</v>
      </c>
      <c r="D120">
        <v>8</v>
      </c>
      <c r="E120" t="s">
        <v>25</v>
      </c>
      <c r="F120">
        <v>3</v>
      </c>
      <c r="G120" t="s">
        <v>54</v>
      </c>
      <c r="H120" t="s">
        <v>39</v>
      </c>
      <c r="I120" t="s">
        <v>22</v>
      </c>
      <c r="J120" t="str">
        <f t="shared" si="4"/>
        <v>30-39</v>
      </c>
      <c r="K120" t="str">
        <f t="shared" si="5"/>
        <v>5-10 LPA</v>
      </c>
      <c r="L120" t="str">
        <f t="shared" si="6"/>
        <v>6-10 Years</v>
      </c>
      <c r="M120">
        <f t="shared" si="7"/>
        <v>0</v>
      </c>
    </row>
    <row r="121" spans="1:13" x14ac:dyDescent="0.25">
      <c r="A121" t="s">
        <v>303</v>
      </c>
      <c r="B121">
        <v>27</v>
      </c>
      <c r="C121">
        <v>975804</v>
      </c>
      <c r="D121">
        <v>1</v>
      </c>
      <c r="E121" t="s">
        <v>19</v>
      </c>
      <c r="F121">
        <v>3</v>
      </c>
      <c r="G121" t="s">
        <v>136</v>
      </c>
      <c r="H121" t="s">
        <v>15</v>
      </c>
      <c r="I121" t="s">
        <v>22</v>
      </c>
      <c r="J121" t="str">
        <f t="shared" si="4"/>
        <v>25-29</v>
      </c>
      <c r="K121" t="str">
        <f t="shared" si="5"/>
        <v>5-10 LPA</v>
      </c>
      <c r="L121" t="str">
        <f t="shared" si="6"/>
        <v>0-2 Years</v>
      </c>
      <c r="M121">
        <f t="shared" si="7"/>
        <v>1</v>
      </c>
    </row>
    <row r="122" spans="1:13" x14ac:dyDescent="0.25">
      <c r="A122" t="s">
        <v>304</v>
      </c>
      <c r="B122">
        <v>24</v>
      </c>
      <c r="C122">
        <v>325968</v>
      </c>
      <c r="D122">
        <v>0</v>
      </c>
      <c r="E122" t="s">
        <v>19</v>
      </c>
      <c r="F122">
        <v>3</v>
      </c>
      <c r="G122" t="s">
        <v>40</v>
      </c>
      <c r="H122" t="s">
        <v>28</v>
      </c>
      <c r="I122" t="s">
        <v>14</v>
      </c>
      <c r="J122" t="str">
        <f t="shared" si="4"/>
        <v>21-24</v>
      </c>
      <c r="K122" t="str">
        <f t="shared" si="5"/>
        <v>Below 5 LPA</v>
      </c>
      <c r="L122" t="str">
        <f t="shared" si="6"/>
        <v>0-2 Years</v>
      </c>
      <c r="M122">
        <f t="shared" si="7"/>
        <v>1</v>
      </c>
    </row>
    <row r="123" spans="1:13" x14ac:dyDescent="0.25">
      <c r="A123" t="s">
        <v>305</v>
      </c>
      <c r="B123">
        <v>23</v>
      </c>
      <c r="C123">
        <v>1315741</v>
      </c>
      <c r="D123">
        <v>2</v>
      </c>
      <c r="E123" t="s">
        <v>19</v>
      </c>
      <c r="F123">
        <v>3</v>
      </c>
      <c r="G123" t="s">
        <v>46</v>
      </c>
      <c r="H123" t="s">
        <v>39</v>
      </c>
      <c r="I123" t="s">
        <v>22</v>
      </c>
      <c r="J123" t="str">
        <f t="shared" si="4"/>
        <v>21-24</v>
      </c>
      <c r="K123" t="str">
        <f t="shared" si="5"/>
        <v>10-15 LPA</v>
      </c>
      <c r="L123" t="str">
        <f t="shared" si="6"/>
        <v>0-2 Years</v>
      </c>
      <c r="M123">
        <f t="shared" si="7"/>
        <v>1</v>
      </c>
    </row>
    <row r="124" spans="1:13" x14ac:dyDescent="0.25">
      <c r="A124" t="s">
        <v>307</v>
      </c>
      <c r="B124">
        <v>40</v>
      </c>
      <c r="C124">
        <v>1528421</v>
      </c>
      <c r="D124">
        <v>15</v>
      </c>
      <c r="E124" t="s">
        <v>25</v>
      </c>
      <c r="F124">
        <v>2</v>
      </c>
      <c r="G124" t="s">
        <v>32</v>
      </c>
      <c r="H124" t="s">
        <v>39</v>
      </c>
      <c r="I124" t="s">
        <v>22</v>
      </c>
      <c r="J124" t="str">
        <f t="shared" si="4"/>
        <v>40-49</v>
      </c>
      <c r="K124" t="str">
        <f t="shared" si="5"/>
        <v>15+ LPA</v>
      </c>
      <c r="L124" t="str">
        <f t="shared" si="6"/>
        <v>10+ Years</v>
      </c>
      <c r="M124">
        <f t="shared" si="7"/>
        <v>0</v>
      </c>
    </row>
    <row r="125" spans="1:13" x14ac:dyDescent="0.25">
      <c r="A125" t="s">
        <v>309</v>
      </c>
      <c r="B125">
        <v>27</v>
      </c>
      <c r="C125">
        <v>893632</v>
      </c>
      <c r="D125">
        <v>6</v>
      </c>
      <c r="E125" t="s">
        <v>25</v>
      </c>
      <c r="F125">
        <v>4</v>
      </c>
      <c r="G125" t="s">
        <v>54</v>
      </c>
      <c r="H125" t="s">
        <v>45</v>
      </c>
      <c r="I125" t="s">
        <v>14</v>
      </c>
      <c r="J125" t="str">
        <f t="shared" si="4"/>
        <v>25-29</v>
      </c>
      <c r="K125" t="str">
        <f t="shared" si="5"/>
        <v>5-10 LPA</v>
      </c>
      <c r="L125" t="str">
        <f t="shared" si="6"/>
        <v>6-10 Years</v>
      </c>
      <c r="M125">
        <f t="shared" si="7"/>
        <v>0</v>
      </c>
    </row>
    <row r="126" spans="1:13" x14ac:dyDescent="0.25">
      <c r="A126" t="s">
        <v>311</v>
      </c>
      <c r="B126">
        <v>48</v>
      </c>
      <c r="C126">
        <v>1844871</v>
      </c>
      <c r="D126">
        <v>17</v>
      </c>
      <c r="E126" t="s">
        <v>25</v>
      </c>
      <c r="F126">
        <v>2</v>
      </c>
      <c r="G126" t="s">
        <v>32</v>
      </c>
      <c r="H126" t="s">
        <v>28</v>
      </c>
      <c r="I126" t="s">
        <v>14</v>
      </c>
      <c r="J126" t="str">
        <f t="shared" si="4"/>
        <v>40-49</v>
      </c>
      <c r="K126" t="str">
        <f t="shared" si="5"/>
        <v>15+ LPA</v>
      </c>
      <c r="L126" t="str">
        <f t="shared" si="6"/>
        <v>10+ Years</v>
      </c>
      <c r="M126">
        <f t="shared" si="7"/>
        <v>0</v>
      </c>
    </row>
    <row r="127" spans="1:13" x14ac:dyDescent="0.25">
      <c r="A127" t="s">
        <v>313</v>
      </c>
      <c r="B127">
        <v>36</v>
      </c>
      <c r="C127">
        <v>1405101</v>
      </c>
      <c r="D127">
        <v>9</v>
      </c>
      <c r="E127" t="s">
        <v>25</v>
      </c>
      <c r="F127">
        <v>2</v>
      </c>
      <c r="G127" t="s">
        <v>32</v>
      </c>
      <c r="H127" t="s">
        <v>85</v>
      </c>
      <c r="I127" t="s">
        <v>22</v>
      </c>
      <c r="J127" t="str">
        <f t="shared" si="4"/>
        <v>30-39</v>
      </c>
      <c r="K127" t="str">
        <f t="shared" si="5"/>
        <v>10-15 LPA</v>
      </c>
      <c r="L127" t="str">
        <f t="shared" si="6"/>
        <v>6-10 Years</v>
      </c>
      <c r="M127">
        <f t="shared" si="7"/>
        <v>0</v>
      </c>
    </row>
    <row r="128" spans="1:13" x14ac:dyDescent="0.25">
      <c r="A128" t="s">
        <v>315</v>
      </c>
      <c r="B128">
        <v>38</v>
      </c>
      <c r="C128">
        <v>1785028</v>
      </c>
      <c r="D128">
        <v>6</v>
      </c>
      <c r="E128" t="s">
        <v>25</v>
      </c>
      <c r="F128">
        <v>2</v>
      </c>
      <c r="G128" t="s">
        <v>32</v>
      </c>
      <c r="H128" t="s">
        <v>31</v>
      </c>
      <c r="I128" t="s">
        <v>14</v>
      </c>
      <c r="J128" t="str">
        <f t="shared" si="4"/>
        <v>30-39</v>
      </c>
      <c r="K128" t="str">
        <f t="shared" si="5"/>
        <v>15+ LPA</v>
      </c>
      <c r="L128" t="str">
        <f t="shared" si="6"/>
        <v>6-10 Years</v>
      </c>
      <c r="M128">
        <f t="shared" si="7"/>
        <v>0</v>
      </c>
    </row>
    <row r="129" spans="1:13" x14ac:dyDescent="0.25">
      <c r="A129" t="s">
        <v>317</v>
      </c>
      <c r="B129">
        <v>24</v>
      </c>
      <c r="C129">
        <v>612221</v>
      </c>
      <c r="D129">
        <v>3</v>
      </c>
      <c r="E129" t="s">
        <v>25</v>
      </c>
      <c r="F129">
        <v>3</v>
      </c>
      <c r="G129" t="s">
        <v>74</v>
      </c>
      <c r="H129" t="s">
        <v>85</v>
      </c>
      <c r="I129" t="s">
        <v>14</v>
      </c>
      <c r="J129" t="str">
        <f t="shared" si="4"/>
        <v>21-24</v>
      </c>
      <c r="K129" t="str">
        <f t="shared" si="5"/>
        <v>5-10 LPA</v>
      </c>
      <c r="L129" t="str">
        <f t="shared" si="6"/>
        <v>3-5 Years</v>
      </c>
      <c r="M129">
        <f t="shared" si="7"/>
        <v>0</v>
      </c>
    </row>
    <row r="130" spans="1:13" x14ac:dyDescent="0.25">
      <c r="A130" t="s">
        <v>319</v>
      </c>
      <c r="B130">
        <v>33</v>
      </c>
      <c r="C130">
        <v>1564005</v>
      </c>
      <c r="D130">
        <v>7</v>
      </c>
      <c r="E130" t="s">
        <v>25</v>
      </c>
      <c r="F130">
        <v>4</v>
      </c>
      <c r="G130" t="s">
        <v>32</v>
      </c>
      <c r="H130" t="s">
        <v>39</v>
      </c>
      <c r="I130" t="s">
        <v>14</v>
      </c>
      <c r="J130" t="str">
        <f t="shared" si="4"/>
        <v>30-39</v>
      </c>
      <c r="K130" t="str">
        <f t="shared" si="5"/>
        <v>15+ LPA</v>
      </c>
      <c r="L130" t="str">
        <f t="shared" si="6"/>
        <v>6-10 Years</v>
      </c>
      <c r="M130">
        <f t="shared" si="7"/>
        <v>0</v>
      </c>
    </row>
    <row r="131" spans="1:13" x14ac:dyDescent="0.25">
      <c r="A131" t="s">
        <v>321</v>
      </c>
      <c r="B131">
        <v>37</v>
      </c>
      <c r="C131">
        <v>1498383</v>
      </c>
      <c r="D131">
        <v>12</v>
      </c>
      <c r="E131" t="s">
        <v>19</v>
      </c>
      <c r="F131">
        <v>4</v>
      </c>
      <c r="G131" t="s">
        <v>16</v>
      </c>
      <c r="H131" t="s">
        <v>61</v>
      </c>
      <c r="I131" t="s">
        <v>22</v>
      </c>
      <c r="J131" t="str">
        <f t="shared" ref="J131:J194" si="8">IF(B131&lt;25,"21-24",
IF(B131&lt;30,"25-29",
IF(B131&lt;40,"30-39",
IF(B131&lt;50,"40-49","50+"))))</f>
        <v>30-39</v>
      </c>
      <c r="K131" t="str">
        <f t="shared" ref="K131:K194" si="9">IF(C131&lt;500000,"Below 5 LPA",
IF(C131&lt;1000000,"5-10 LPA",
IF(C131&lt;1500000,"10-15 LPA","15+ LPA")))</f>
        <v>10-15 LPA</v>
      </c>
      <c r="L131" t="str">
        <f t="shared" ref="L131:L194" si="10">IF(D131&lt;=2,"0-2 Years",
IF(D131&lt;=5,"3-5 Years",
IF(D131&lt;=10,"6-10 Years","10+ Years")))</f>
        <v>10+ Years</v>
      </c>
      <c r="M131">
        <f t="shared" ref="M131:M194" si="11">IF(E131="Yes",1,0)</f>
        <v>1</v>
      </c>
    </row>
    <row r="132" spans="1:13" x14ac:dyDescent="0.25">
      <c r="A132" t="s">
        <v>323</v>
      </c>
      <c r="B132">
        <v>29</v>
      </c>
      <c r="C132">
        <v>632642</v>
      </c>
      <c r="D132">
        <v>1</v>
      </c>
      <c r="E132" t="s">
        <v>19</v>
      </c>
      <c r="F132">
        <v>3</v>
      </c>
      <c r="G132" t="s">
        <v>54</v>
      </c>
      <c r="H132" t="s">
        <v>15</v>
      </c>
      <c r="I132" t="s">
        <v>22</v>
      </c>
      <c r="J132" t="str">
        <f t="shared" si="8"/>
        <v>25-29</v>
      </c>
      <c r="K132" t="str">
        <f t="shared" si="9"/>
        <v>5-10 LPA</v>
      </c>
      <c r="L132" t="str">
        <f t="shared" si="10"/>
        <v>0-2 Years</v>
      </c>
      <c r="M132">
        <f t="shared" si="11"/>
        <v>1</v>
      </c>
    </row>
    <row r="133" spans="1:13" x14ac:dyDescent="0.25">
      <c r="A133" t="s">
        <v>325</v>
      </c>
      <c r="B133">
        <v>34</v>
      </c>
      <c r="C133">
        <v>1771679</v>
      </c>
      <c r="D133">
        <v>7</v>
      </c>
      <c r="E133" t="s">
        <v>25</v>
      </c>
      <c r="F133">
        <v>3</v>
      </c>
      <c r="G133" t="s">
        <v>32</v>
      </c>
      <c r="H133" t="s">
        <v>50</v>
      </c>
      <c r="I133" t="s">
        <v>14</v>
      </c>
      <c r="J133" t="str">
        <f t="shared" si="8"/>
        <v>30-39</v>
      </c>
      <c r="K133" t="str">
        <f t="shared" si="9"/>
        <v>15+ LPA</v>
      </c>
      <c r="L133" t="str">
        <f t="shared" si="10"/>
        <v>6-10 Years</v>
      </c>
      <c r="M133">
        <f t="shared" si="11"/>
        <v>0</v>
      </c>
    </row>
    <row r="134" spans="1:13" x14ac:dyDescent="0.25">
      <c r="A134" t="s">
        <v>327</v>
      </c>
      <c r="B134">
        <v>33</v>
      </c>
      <c r="C134">
        <v>1396308</v>
      </c>
      <c r="D134">
        <v>5</v>
      </c>
      <c r="E134" t="s">
        <v>19</v>
      </c>
      <c r="F134">
        <v>4</v>
      </c>
      <c r="G134" t="s">
        <v>32</v>
      </c>
      <c r="H134" t="s">
        <v>15</v>
      </c>
      <c r="I134" t="s">
        <v>22</v>
      </c>
      <c r="J134" t="str">
        <f t="shared" si="8"/>
        <v>30-39</v>
      </c>
      <c r="K134" t="str">
        <f t="shared" si="9"/>
        <v>10-15 LPA</v>
      </c>
      <c r="L134" t="str">
        <f t="shared" si="10"/>
        <v>3-5 Years</v>
      </c>
      <c r="M134">
        <f t="shared" si="11"/>
        <v>1</v>
      </c>
    </row>
    <row r="135" spans="1:13" x14ac:dyDescent="0.25">
      <c r="A135" t="s">
        <v>329</v>
      </c>
      <c r="B135">
        <v>21</v>
      </c>
      <c r="C135">
        <v>617468</v>
      </c>
      <c r="D135">
        <v>0</v>
      </c>
      <c r="E135" t="s">
        <v>25</v>
      </c>
      <c r="F135">
        <v>2</v>
      </c>
      <c r="G135" t="s">
        <v>40</v>
      </c>
      <c r="H135" t="s">
        <v>78</v>
      </c>
      <c r="I135" t="s">
        <v>22</v>
      </c>
      <c r="J135" t="str">
        <f t="shared" si="8"/>
        <v>21-24</v>
      </c>
      <c r="K135" t="str">
        <f t="shared" si="9"/>
        <v>5-10 LPA</v>
      </c>
      <c r="L135" t="str">
        <f t="shared" si="10"/>
        <v>0-2 Years</v>
      </c>
      <c r="M135">
        <f t="shared" si="11"/>
        <v>0</v>
      </c>
    </row>
    <row r="136" spans="1:13" x14ac:dyDescent="0.25">
      <c r="A136" t="s">
        <v>331</v>
      </c>
      <c r="B136">
        <v>28</v>
      </c>
      <c r="C136">
        <v>593039</v>
      </c>
      <c r="D136">
        <v>4</v>
      </c>
      <c r="E136" t="s">
        <v>19</v>
      </c>
      <c r="F136">
        <v>1</v>
      </c>
      <c r="G136" t="s">
        <v>74</v>
      </c>
      <c r="H136" t="s">
        <v>50</v>
      </c>
      <c r="I136" t="s">
        <v>14</v>
      </c>
      <c r="J136" t="str">
        <f t="shared" si="8"/>
        <v>25-29</v>
      </c>
      <c r="K136" t="str">
        <f t="shared" si="9"/>
        <v>5-10 LPA</v>
      </c>
      <c r="L136" t="str">
        <f t="shared" si="10"/>
        <v>3-5 Years</v>
      </c>
      <c r="M136">
        <f t="shared" si="11"/>
        <v>1</v>
      </c>
    </row>
    <row r="137" spans="1:13" x14ac:dyDescent="0.25">
      <c r="A137" t="s">
        <v>332</v>
      </c>
      <c r="B137">
        <v>28</v>
      </c>
      <c r="C137">
        <v>859082</v>
      </c>
      <c r="D137">
        <v>7</v>
      </c>
      <c r="E137" t="s">
        <v>25</v>
      </c>
      <c r="F137">
        <v>3</v>
      </c>
      <c r="G137" t="s">
        <v>54</v>
      </c>
      <c r="H137" t="s">
        <v>50</v>
      </c>
      <c r="I137" t="s">
        <v>14</v>
      </c>
      <c r="J137" t="str">
        <f t="shared" si="8"/>
        <v>25-29</v>
      </c>
      <c r="K137" t="str">
        <f t="shared" si="9"/>
        <v>5-10 LPA</v>
      </c>
      <c r="L137" t="str">
        <f t="shared" si="10"/>
        <v>6-10 Years</v>
      </c>
      <c r="M137">
        <f t="shared" si="11"/>
        <v>0</v>
      </c>
    </row>
    <row r="138" spans="1:13" x14ac:dyDescent="0.25">
      <c r="A138" t="s">
        <v>334</v>
      </c>
      <c r="B138">
        <v>23</v>
      </c>
      <c r="C138">
        <v>750966</v>
      </c>
      <c r="D138">
        <v>0</v>
      </c>
      <c r="E138" t="s">
        <v>25</v>
      </c>
      <c r="F138">
        <v>3</v>
      </c>
      <c r="G138" t="s">
        <v>54</v>
      </c>
      <c r="H138" t="s">
        <v>78</v>
      </c>
      <c r="I138" t="s">
        <v>14</v>
      </c>
      <c r="J138" t="str">
        <f t="shared" si="8"/>
        <v>21-24</v>
      </c>
      <c r="K138" t="str">
        <f t="shared" si="9"/>
        <v>5-10 LPA</v>
      </c>
      <c r="L138" t="str">
        <f t="shared" si="10"/>
        <v>0-2 Years</v>
      </c>
      <c r="M138">
        <f t="shared" si="11"/>
        <v>0</v>
      </c>
    </row>
    <row r="139" spans="1:13" x14ac:dyDescent="0.25">
      <c r="A139" t="s">
        <v>336</v>
      </c>
      <c r="B139">
        <v>41</v>
      </c>
      <c r="C139">
        <v>1509074</v>
      </c>
      <c r="D139">
        <v>12</v>
      </c>
      <c r="E139" t="s">
        <v>25</v>
      </c>
      <c r="F139">
        <v>3</v>
      </c>
      <c r="G139" t="s">
        <v>136</v>
      </c>
      <c r="H139" t="s">
        <v>50</v>
      </c>
      <c r="I139" t="s">
        <v>14</v>
      </c>
      <c r="J139" t="str">
        <f t="shared" si="8"/>
        <v>40-49</v>
      </c>
      <c r="K139" t="str">
        <f t="shared" si="9"/>
        <v>15+ LPA</v>
      </c>
      <c r="L139" t="str">
        <f t="shared" si="10"/>
        <v>10+ Years</v>
      </c>
      <c r="M139">
        <f t="shared" si="11"/>
        <v>0</v>
      </c>
    </row>
    <row r="140" spans="1:13" x14ac:dyDescent="0.25">
      <c r="A140" t="s">
        <v>338</v>
      </c>
      <c r="B140">
        <v>38</v>
      </c>
      <c r="C140">
        <v>866678</v>
      </c>
      <c r="D140">
        <v>8</v>
      </c>
      <c r="E140" t="s">
        <v>25</v>
      </c>
      <c r="F140">
        <v>3</v>
      </c>
      <c r="G140" t="s">
        <v>40</v>
      </c>
      <c r="H140" t="s">
        <v>28</v>
      </c>
      <c r="I140" t="s">
        <v>22</v>
      </c>
      <c r="J140" t="str">
        <f t="shared" si="8"/>
        <v>30-39</v>
      </c>
      <c r="K140" t="str">
        <f t="shared" si="9"/>
        <v>5-10 LPA</v>
      </c>
      <c r="L140" t="str">
        <f t="shared" si="10"/>
        <v>6-10 Years</v>
      </c>
      <c r="M140">
        <f t="shared" si="11"/>
        <v>0</v>
      </c>
    </row>
    <row r="141" spans="1:13" x14ac:dyDescent="0.25">
      <c r="A141" t="s">
        <v>340</v>
      </c>
      <c r="B141">
        <v>30</v>
      </c>
      <c r="C141">
        <v>766107</v>
      </c>
      <c r="D141">
        <v>5</v>
      </c>
      <c r="E141" t="s">
        <v>25</v>
      </c>
      <c r="F141">
        <v>4</v>
      </c>
      <c r="G141" t="s">
        <v>54</v>
      </c>
      <c r="H141" t="s">
        <v>78</v>
      </c>
      <c r="I141" t="s">
        <v>14</v>
      </c>
      <c r="J141" t="str">
        <f t="shared" si="8"/>
        <v>30-39</v>
      </c>
      <c r="K141" t="str">
        <f t="shared" si="9"/>
        <v>5-10 LPA</v>
      </c>
      <c r="L141" t="str">
        <f t="shared" si="10"/>
        <v>3-5 Years</v>
      </c>
      <c r="M141">
        <f t="shared" si="11"/>
        <v>0</v>
      </c>
    </row>
    <row r="142" spans="1:13" x14ac:dyDescent="0.25">
      <c r="A142" t="s">
        <v>342</v>
      </c>
      <c r="B142">
        <v>40</v>
      </c>
      <c r="C142">
        <v>1641248</v>
      </c>
      <c r="D142">
        <v>11</v>
      </c>
      <c r="E142" t="s">
        <v>25</v>
      </c>
      <c r="F142">
        <v>3</v>
      </c>
      <c r="G142" t="s">
        <v>32</v>
      </c>
      <c r="H142" t="s">
        <v>31</v>
      </c>
      <c r="I142" t="s">
        <v>14</v>
      </c>
      <c r="J142" t="str">
        <f t="shared" si="8"/>
        <v>40-49</v>
      </c>
      <c r="K142" t="str">
        <f t="shared" si="9"/>
        <v>15+ LPA</v>
      </c>
      <c r="L142" t="str">
        <f t="shared" si="10"/>
        <v>10+ Years</v>
      </c>
      <c r="M142">
        <f t="shared" si="11"/>
        <v>0</v>
      </c>
    </row>
    <row r="143" spans="1:13" x14ac:dyDescent="0.25">
      <c r="A143" t="s">
        <v>344</v>
      </c>
      <c r="B143">
        <v>26</v>
      </c>
      <c r="C143">
        <v>673705</v>
      </c>
      <c r="D143">
        <v>3</v>
      </c>
      <c r="E143" t="s">
        <v>25</v>
      </c>
      <c r="F143">
        <v>3</v>
      </c>
      <c r="G143" t="s">
        <v>40</v>
      </c>
      <c r="H143" t="s">
        <v>15</v>
      </c>
      <c r="I143" t="s">
        <v>14</v>
      </c>
      <c r="J143" t="str">
        <f t="shared" si="8"/>
        <v>25-29</v>
      </c>
      <c r="K143" t="str">
        <f t="shared" si="9"/>
        <v>5-10 LPA</v>
      </c>
      <c r="L143" t="str">
        <f t="shared" si="10"/>
        <v>3-5 Years</v>
      </c>
      <c r="M143">
        <f t="shared" si="11"/>
        <v>0</v>
      </c>
    </row>
    <row r="144" spans="1:13" x14ac:dyDescent="0.25">
      <c r="A144" t="s">
        <v>346</v>
      </c>
      <c r="B144">
        <v>30</v>
      </c>
      <c r="C144">
        <v>1364616</v>
      </c>
      <c r="D144">
        <v>2</v>
      </c>
      <c r="E144" t="s">
        <v>25</v>
      </c>
      <c r="F144">
        <v>4</v>
      </c>
      <c r="G144" t="s">
        <v>32</v>
      </c>
      <c r="H144" t="s">
        <v>45</v>
      </c>
      <c r="I144" t="s">
        <v>14</v>
      </c>
      <c r="J144" t="str">
        <f t="shared" si="8"/>
        <v>30-39</v>
      </c>
      <c r="K144" t="str">
        <f t="shared" si="9"/>
        <v>10-15 LPA</v>
      </c>
      <c r="L144" t="str">
        <f t="shared" si="10"/>
        <v>0-2 Years</v>
      </c>
      <c r="M144">
        <f t="shared" si="11"/>
        <v>0</v>
      </c>
    </row>
    <row r="145" spans="1:13" x14ac:dyDescent="0.25">
      <c r="A145" t="s">
        <v>348</v>
      </c>
      <c r="B145">
        <v>24</v>
      </c>
      <c r="C145">
        <v>738205</v>
      </c>
      <c r="D145">
        <v>0</v>
      </c>
      <c r="E145" t="s">
        <v>25</v>
      </c>
      <c r="F145">
        <v>2</v>
      </c>
      <c r="G145" t="s">
        <v>40</v>
      </c>
      <c r="H145" t="s">
        <v>85</v>
      </c>
      <c r="I145" t="s">
        <v>14</v>
      </c>
      <c r="J145" t="str">
        <f t="shared" si="8"/>
        <v>21-24</v>
      </c>
      <c r="K145" t="str">
        <f t="shared" si="9"/>
        <v>5-10 LPA</v>
      </c>
      <c r="L145" t="str">
        <f t="shared" si="10"/>
        <v>0-2 Years</v>
      </c>
      <c r="M145">
        <f t="shared" si="11"/>
        <v>0</v>
      </c>
    </row>
    <row r="146" spans="1:13" x14ac:dyDescent="0.25">
      <c r="A146" t="s">
        <v>349</v>
      </c>
      <c r="B146">
        <v>35</v>
      </c>
      <c r="C146">
        <v>1348131</v>
      </c>
      <c r="D146">
        <v>13</v>
      </c>
      <c r="E146" t="s">
        <v>19</v>
      </c>
      <c r="F146">
        <v>3</v>
      </c>
      <c r="G146" t="s">
        <v>66</v>
      </c>
      <c r="H146" t="s">
        <v>31</v>
      </c>
      <c r="I146" t="s">
        <v>22</v>
      </c>
      <c r="J146" t="str">
        <f t="shared" si="8"/>
        <v>30-39</v>
      </c>
      <c r="K146" t="str">
        <f t="shared" si="9"/>
        <v>10-15 LPA</v>
      </c>
      <c r="L146" t="str">
        <f t="shared" si="10"/>
        <v>10+ Years</v>
      </c>
      <c r="M146">
        <f t="shared" si="11"/>
        <v>1</v>
      </c>
    </row>
    <row r="147" spans="1:13" x14ac:dyDescent="0.25">
      <c r="A147" t="s">
        <v>351</v>
      </c>
      <c r="B147">
        <v>32</v>
      </c>
      <c r="C147">
        <v>1079700</v>
      </c>
      <c r="D147">
        <v>3</v>
      </c>
      <c r="E147" t="s">
        <v>25</v>
      </c>
      <c r="F147">
        <v>4</v>
      </c>
      <c r="G147" t="s">
        <v>32</v>
      </c>
      <c r="H147" t="s">
        <v>39</v>
      </c>
      <c r="I147" t="s">
        <v>14</v>
      </c>
      <c r="J147" t="str">
        <f t="shared" si="8"/>
        <v>30-39</v>
      </c>
      <c r="K147" t="str">
        <f t="shared" si="9"/>
        <v>10-15 LPA</v>
      </c>
      <c r="L147" t="str">
        <f t="shared" si="10"/>
        <v>3-5 Years</v>
      </c>
      <c r="M147">
        <f t="shared" si="11"/>
        <v>0</v>
      </c>
    </row>
    <row r="148" spans="1:13" x14ac:dyDescent="0.25">
      <c r="A148" t="s">
        <v>353</v>
      </c>
      <c r="B148">
        <v>33</v>
      </c>
      <c r="C148">
        <v>893078</v>
      </c>
      <c r="D148">
        <v>4</v>
      </c>
      <c r="E148" t="s">
        <v>25</v>
      </c>
      <c r="F148">
        <v>4</v>
      </c>
      <c r="G148" t="s">
        <v>54</v>
      </c>
      <c r="H148" t="s">
        <v>45</v>
      </c>
      <c r="I148" t="s">
        <v>14</v>
      </c>
      <c r="J148" t="str">
        <f t="shared" si="8"/>
        <v>30-39</v>
      </c>
      <c r="K148" t="str">
        <f t="shared" si="9"/>
        <v>5-10 LPA</v>
      </c>
      <c r="L148" t="str">
        <f t="shared" si="10"/>
        <v>3-5 Years</v>
      </c>
      <c r="M148">
        <f t="shared" si="11"/>
        <v>0</v>
      </c>
    </row>
    <row r="149" spans="1:13" x14ac:dyDescent="0.25">
      <c r="A149" t="s">
        <v>355</v>
      </c>
      <c r="B149">
        <v>34</v>
      </c>
      <c r="C149">
        <v>1251828</v>
      </c>
      <c r="D149">
        <v>10</v>
      </c>
      <c r="E149" t="s">
        <v>25</v>
      </c>
      <c r="F149">
        <v>3</v>
      </c>
      <c r="G149" t="s">
        <v>16</v>
      </c>
      <c r="H149" t="s">
        <v>28</v>
      </c>
      <c r="I149" t="s">
        <v>22</v>
      </c>
      <c r="J149" t="str">
        <f t="shared" si="8"/>
        <v>30-39</v>
      </c>
      <c r="K149" t="str">
        <f t="shared" si="9"/>
        <v>10-15 LPA</v>
      </c>
      <c r="L149" t="str">
        <f t="shared" si="10"/>
        <v>6-10 Years</v>
      </c>
      <c r="M149">
        <f t="shared" si="11"/>
        <v>0</v>
      </c>
    </row>
    <row r="150" spans="1:13" x14ac:dyDescent="0.25">
      <c r="A150" t="s">
        <v>357</v>
      </c>
      <c r="B150">
        <v>34</v>
      </c>
      <c r="C150">
        <v>1367158</v>
      </c>
      <c r="D150">
        <v>13</v>
      </c>
      <c r="E150" t="s">
        <v>25</v>
      </c>
      <c r="F150">
        <v>4</v>
      </c>
      <c r="G150" t="s">
        <v>54</v>
      </c>
      <c r="H150" t="s">
        <v>50</v>
      </c>
      <c r="I150" t="s">
        <v>14</v>
      </c>
      <c r="J150" t="str">
        <f t="shared" si="8"/>
        <v>30-39</v>
      </c>
      <c r="K150" t="str">
        <f t="shared" si="9"/>
        <v>10-15 LPA</v>
      </c>
      <c r="L150" t="str">
        <f t="shared" si="10"/>
        <v>10+ Years</v>
      </c>
      <c r="M150">
        <f t="shared" si="11"/>
        <v>0</v>
      </c>
    </row>
    <row r="151" spans="1:13" x14ac:dyDescent="0.25">
      <c r="A151" t="s">
        <v>359</v>
      </c>
      <c r="B151">
        <v>28</v>
      </c>
      <c r="C151">
        <v>804269</v>
      </c>
      <c r="D151">
        <v>7</v>
      </c>
      <c r="E151" t="s">
        <v>25</v>
      </c>
      <c r="F151">
        <v>5</v>
      </c>
      <c r="G151" t="s">
        <v>40</v>
      </c>
      <c r="H151" t="s">
        <v>45</v>
      </c>
      <c r="I151" t="s">
        <v>14</v>
      </c>
      <c r="J151" t="str">
        <f t="shared" si="8"/>
        <v>25-29</v>
      </c>
      <c r="K151" t="str">
        <f t="shared" si="9"/>
        <v>5-10 LPA</v>
      </c>
      <c r="L151" t="str">
        <f t="shared" si="10"/>
        <v>6-10 Years</v>
      </c>
      <c r="M151">
        <f t="shared" si="11"/>
        <v>0</v>
      </c>
    </row>
    <row r="152" spans="1:13" x14ac:dyDescent="0.25">
      <c r="A152" t="s">
        <v>361</v>
      </c>
      <c r="B152">
        <v>28</v>
      </c>
      <c r="C152">
        <v>928194</v>
      </c>
      <c r="D152">
        <v>4</v>
      </c>
      <c r="E152" t="s">
        <v>25</v>
      </c>
      <c r="F152">
        <v>4</v>
      </c>
      <c r="G152" t="s">
        <v>66</v>
      </c>
      <c r="H152" t="s">
        <v>23</v>
      </c>
      <c r="I152" t="s">
        <v>14</v>
      </c>
      <c r="J152" t="str">
        <f t="shared" si="8"/>
        <v>25-29</v>
      </c>
      <c r="K152" t="str">
        <f t="shared" si="9"/>
        <v>5-10 LPA</v>
      </c>
      <c r="L152" t="str">
        <f t="shared" si="10"/>
        <v>3-5 Years</v>
      </c>
      <c r="M152">
        <f t="shared" si="11"/>
        <v>0</v>
      </c>
    </row>
    <row r="153" spans="1:13" x14ac:dyDescent="0.25">
      <c r="A153" t="s">
        <v>363</v>
      </c>
      <c r="B153">
        <v>31</v>
      </c>
      <c r="C153">
        <v>1448206</v>
      </c>
      <c r="D153">
        <v>1</v>
      </c>
      <c r="E153" t="s">
        <v>25</v>
      </c>
      <c r="F153">
        <v>4</v>
      </c>
      <c r="G153" t="s">
        <v>46</v>
      </c>
      <c r="H153" t="s">
        <v>31</v>
      </c>
      <c r="I153" t="s">
        <v>14</v>
      </c>
      <c r="J153" t="str">
        <f t="shared" si="8"/>
        <v>30-39</v>
      </c>
      <c r="K153" t="str">
        <f t="shared" si="9"/>
        <v>10-15 LPA</v>
      </c>
      <c r="L153" t="str">
        <f t="shared" si="10"/>
        <v>0-2 Years</v>
      </c>
      <c r="M153">
        <f t="shared" si="11"/>
        <v>0</v>
      </c>
    </row>
    <row r="154" spans="1:13" x14ac:dyDescent="0.25">
      <c r="A154" t="s">
        <v>364</v>
      </c>
      <c r="B154">
        <v>31</v>
      </c>
      <c r="C154">
        <v>683034</v>
      </c>
      <c r="D154">
        <v>10</v>
      </c>
      <c r="E154" t="s">
        <v>25</v>
      </c>
      <c r="F154">
        <v>3</v>
      </c>
      <c r="G154" t="s">
        <v>74</v>
      </c>
      <c r="H154" t="s">
        <v>23</v>
      </c>
      <c r="I154" t="s">
        <v>14</v>
      </c>
      <c r="J154" t="str">
        <f t="shared" si="8"/>
        <v>30-39</v>
      </c>
      <c r="K154" t="str">
        <f t="shared" si="9"/>
        <v>5-10 LPA</v>
      </c>
      <c r="L154" t="str">
        <f t="shared" si="10"/>
        <v>6-10 Years</v>
      </c>
      <c r="M154">
        <f t="shared" si="11"/>
        <v>0</v>
      </c>
    </row>
    <row r="155" spans="1:13" x14ac:dyDescent="0.25">
      <c r="A155" t="s">
        <v>366</v>
      </c>
      <c r="B155">
        <v>27</v>
      </c>
      <c r="C155">
        <v>944208</v>
      </c>
      <c r="D155">
        <v>6</v>
      </c>
      <c r="E155" t="s">
        <v>25</v>
      </c>
      <c r="F155">
        <v>3</v>
      </c>
      <c r="G155" t="s">
        <v>54</v>
      </c>
      <c r="H155" t="s">
        <v>50</v>
      </c>
      <c r="I155" t="s">
        <v>14</v>
      </c>
      <c r="J155" t="str">
        <f t="shared" si="8"/>
        <v>25-29</v>
      </c>
      <c r="K155" t="str">
        <f t="shared" si="9"/>
        <v>5-10 LPA</v>
      </c>
      <c r="L155" t="str">
        <f t="shared" si="10"/>
        <v>6-10 Years</v>
      </c>
      <c r="M155">
        <f t="shared" si="11"/>
        <v>0</v>
      </c>
    </row>
    <row r="156" spans="1:13" x14ac:dyDescent="0.25">
      <c r="A156" t="s">
        <v>368</v>
      </c>
      <c r="B156">
        <v>34</v>
      </c>
      <c r="C156">
        <v>1155894</v>
      </c>
      <c r="D156">
        <v>6</v>
      </c>
      <c r="E156" t="s">
        <v>25</v>
      </c>
      <c r="F156">
        <v>3</v>
      </c>
      <c r="G156" t="s">
        <v>32</v>
      </c>
      <c r="H156" t="s">
        <v>85</v>
      </c>
      <c r="I156" t="s">
        <v>14</v>
      </c>
      <c r="J156" t="str">
        <f t="shared" si="8"/>
        <v>30-39</v>
      </c>
      <c r="K156" t="str">
        <f t="shared" si="9"/>
        <v>10-15 LPA</v>
      </c>
      <c r="L156" t="str">
        <f t="shared" si="10"/>
        <v>6-10 Years</v>
      </c>
      <c r="M156">
        <f t="shared" si="11"/>
        <v>0</v>
      </c>
    </row>
    <row r="157" spans="1:13" x14ac:dyDescent="0.25">
      <c r="A157" t="s">
        <v>370</v>
      </c>
      <c r="B157">
        <v>39</v>
      </c>
      <c r="C157">
        <v>1794229</v>
      </c>
      <c r="D157">
        <v>8</v>
      </c>
      <c r="E157" t="s">
        <v>25</v>
      </c>
      <c r="F157">
        <v>3</v>
      </c>
      <c r="G157" t="s">
        <v>46</v>
      </c>
      <c r="H157" t="s">
        <v>50</v>
      </c>
      <c r="I157" t="s">
        <v>22</v>
      </c>
      <c r="J157" t="str">
        <f t="shared" si="8"/>
        <v>30-39</v>
      </c>
      <c r="K157" t="str">
        <f t="shared" si="9"/>
        <v>15+ LPA</v>
      </c>
      <c r="L157" t="str">
        <f t="shared" si="10"/>
        <v>6-10 Years</v>
      </c>
      <c r="M157">
        <f t="shared" si="11"/>
        <v>0</v>
      </c>
    </row>
    <row r="158" spans="1:13" x14ac:dyDescent="0.25">
      <c r="A158" t="s">
        <v>372</v>
      </c>
      <c r="B158">
        <v>21</v>
      </c>
      <c r="C158">
        <v>653435</v>
      </c>
      <c r="D158">
        <v>0</v>
      </c>
      <c r="E158" t="s">
        <v>25</v>
      </c>
      <c r="F158">
        <v>4</v>
      </c>
      <c r="G158" t="s">
        <v>66</v>
      </c>
      <c r="H158" t="s">
        <v>85</v>
      </c>
      <c r="I158" t="s">
        <v>22</v>
      </c>
      <c r="J158" t="str">
        <f t="shared" si="8"/>
        <v>21-24</v>
      </c>
      <c r="K158" t="str">
        <f t="shared" si="9"/>
        <v>5-10 LPA</v>
      </c>
      <c r="L158" t="str">
        <f t="shared" si="10"/>
        <v>0-2 Years</v>
      </c>
      <c r="M158">
        <f t="shared" si="11"/>
        <v>0</v>
      </c>
    </row>
    <row r="159" spans="1:13" x14ac:dyDescent="0.25">
      <c r="A159" t="s">
        <v>374</v>
      </c>
      <c r="B159">
        <v>33</v>
      </c>
      <c r="C159">
        <v>1371519</v>
      </c>
      <c r="D159">
        <v>11</v>
      </c>
      <c r="E159" t="s">
        <v>25</v>
      </c>
      <c r="F159">
        <v>1</v>
      </c>
      <c r="G159" t="s">
        <v>16</v>
      </c>
      <c r="H159" t="s">
        <v>23</v>
      </c>
      <c r="I159" t="s">
        <v>14</v>
      </c>
      <c r="J159" t="str">
        <f t="shared" si="8"/>
        <v>30-39</v>
      </c>
      <c r="K159" t="str">
        <f t="shared" si="9"/>
        <v>10-15 LPA</v>
      </c>
      <c r="L159" t="str">
        <f t="shared" si="10"/>
        <v>10+ Years</v>
      </c>
      <c r="M159">
        <f t="shared" si="11"/>
        <v>0</v>
      </c>
    </row>
    <row r="160" spans="1:13" x14ac:dyDescent="0.25">
      <c r="A160" t="s">
        <v>376</v>
      </c>
      <c r="B160">
        <v>40</v>
      </c>
      <c r="C160">
        <v>1042702</v>
      </c>
      <c r="D160">
        <v>10</v>
      </c>
      <c r="E160" t="s">
        <v>25</v>
      </c>
      <c r="F160">
        <v>2</v>
      </c>
      <c r="G160" t="s">
        <v>54</v>
      </c>
      <c r="H160" t="s">
        <v>45</v>
      </c>
      <c r="I160" t="s">
        <v>22</v>
      </c>
      <c r="J160" t="str">
        <f t="shared" si="8"/>
        <v>40-49</v>
      </c>
      <c r="K160" t="str">
        <f t="shared" si="9"/>
        <v>10-15 LPA</v>
      </c>
      <c r="L160" t="str">
        <f t="shared" si="10"/>
        <v>6-10 Years</v>
      </c>
      <c r="M160">
        <f t="shared" si="11"/>
        <v>0</v>
      </c>
    </row>
    <row r="161" spans="1:13" x14ac:dyDescent="0.25">
      <c r="A161" t="s">
        <v>378</v>
      </c>
      <c r="B161">
        <v>34</v>
      </c>
      <c r="C161">
        <v>1251675</v>
      </c>
      <c r="D161">
        <v>9</v>
      </c>
      <c r="E161" t="s">
        <v>25</v>
      </c>
      <c r="F161">
        <v>3</v>
      </c>
      <c r="G161" t="s">
        <v>66</v>
      </c>
      <c r="H161" t="s">
        <v>39</v>
      </c>
      <c r="I161" t="s">
        <v>14</v>
      </c>
      <c r="J161" t="str">
        <f t="shared" si="8"/>
        <v>30-39</v>
      </c>
      <c r="K161" t="str">
        <f t="shared" si="9"/>
        <v>10-15 LPA</v>
      </c>
      <c r="L161" t="str">
        <f t="shared" si="10"/>
        <v>6-10 Years</v>
      </c>
      <c r="M161">
        <f t="shared" si="11"/>
        <v>0</v>
      </c>
    </row>
    <row r="162" spans="1:13" x14ac:dyDescent="0.25">
      <c r="A162" t="s">
        <v>380</v>
      </c>
      <c r="B162">
        <v>27</v>
      </c>
      <c r="C162">
        <v>747540</v>
      </c>
      <c r="D162">
        <v>3</v>
      </c>
      <c r="E162" t="s">
        <v>25</v>
      </c>
      <c r="F162">
        <v>4</v>
      </c>
      <c r="G162" t="s">
        <v>16</v>
      </c>
      <c r="H162" t="s">
        <v>15</v>
      </c>
      <c r="I162" t="s">
        <v>14</v>
      </c>
      <c r="J162" t="str">
        <f t="shared" si="8"/>
        <v>25-29</v>
      </c>
      <c r="K162" t="str">
        <f t="shared" si="9"/>
        <v>5-10 LPA</v>
      </c>
      <c r="L162" t="str">
        <f t="shared" si="10"/>
        <v>3-5 Years</v>
      </c>
      <c r="M162">
        <f t="shared" si="11"/>
        <v>0</v>
      </c>
    </row>
    <row r="163" spans="1:13" x14ac:dyDescent="0.25">
      <c r="A163" t="s">
        <v>382</v>
      </c>
      <c r="B163">
        <v>35</v>
      </c>
      <c r="C163">
        <v>1372436</v>
      </c>
      <c r="D163">
        <v>13</v>
      </c>
      <c r="E163" t="s">
        <v>25</v>
      </c>
      <c r="F163">
        <v>3</v>
      </c>
      <c r="G163" t="s">
        <v>16</v>
      </c>
      <c r="H163" t="s">
        <v>31</v>
      </c>
      <c r="I163" t="s">
        <v>14</v>
      </c>
      <c r="J163" t="str">
        <f t="shared" si="8"/>
        <v>30-39</v>
      </c>
      <c r="K163" t="str">
        <f t="shared" si="9"/>
        <v>10-15 LPA</v>
      </c>
      <c r="L163" t="str">
        <f t="shared" si="10"/>
        <v>10+ Years</v>
      </c>
      <c r="M163">
        <f t="shared" si="11"/>
        <v>0</v>
      </c>
    </row>
    <row r="164" spans="1:13" x14ac:dyDescent="0.25">
      <c r="A164" t="s">
        <v>384</v>
      </c>
      <c r="B164">
        <v>33</v>
      </c>
      <c r="C164">
        <v>1237249</v>
      </c>
      <c r="D164">
        <v>4</v>
      </c>
      <c r="E164" t="s">
        <v>25</v>
      </c>
      <c r="F164">
        <v>4</v>
      </c>
      <c r="G164" t="s">
        <v>136</v>
      </c>
      <c r="H164" t="s">
        <v>31</v>
      </c>
      <c r="I164" t="s">
        <v>14</v>
      </c>
      <c r="J164" t="str">
        <f t="shared" si="8"/>
        <v>30-39</v>
      </c>
      <c r="K164" t="str">
        <f t="shared" si="9"/>
        <v>10-15 LPA</v>
      </c>
      <c r="L164" t="str">
        <f t="shared" si="10"/>
        <v>3-5 Years</v>
      </c>
      <c r="M164">
        <f t="shared" si="11"/>
        <v>0</v>
      </c>
    </row>
    <row r="165" spans="1:13" x14ac:dyDescent="0.25">
      <c r="A165" t="s">
        <v>386</v>
      </c>
      <c r="B165">
        <v>25</v>
      </c>
      <c r="C165">
        <v>769814</v>
      </c>
      <c r="D165">
        <v>4</v>
      </c>
      <c r="E165" t="s">
        <v>25</v>
      </c>
      <c r="F165">
        <v>1</v>
      </c>
      <c r="G165" t="s">
        <v>74</v>
      </c>
      <c r="H165" t="s">
        <v>61</v>
      </c>
      <c r="I165" t="s">
        <v>22</v>
      </c>
      <c r="J165" t="str">
        <f t="shared" si="8"/>
        <v>25-29</v>
      </c>
      <c r="K165" t="str">
        <f t="shared" si="9"/>
        <v>5-10 LPA</v>
      </c>
      <c r="L165" t="str">
        <f t="shared" si="10"/>
        <v>3-5 Years</v>
      </c>
      <c r="M165">
        <f t="shared" si="11"/>
        <v>0</v>
      </c>
    </row>
    <row r="166" spans="1:13" x14ac:dyDescent="0.25">
      <c r="A166" t="s">
        <v>388</v>
      </c>
      <c r="B166">
        <v>24</v>
      </c>
      <c r="C166">
        <v>965553</v>
      </c>
      <c r="D166">
        <v>3</v>
      </c>
      <c r="E166" t="s">
        <v>25</v>
      </c>
      <c r="F166">
        <v>3</v>
      </c>
      <c r="G166" t="s">
        <v>32</v>
      </c>
      <c r="H166" t="s">
        <v>61</v>
      </c>
      <c r="I166" t="s">
        <v>22</v>
      </c>
      <c r="J166" t="str">
        <f t="shared" si="8"/>
        <v>21-24</v>
      </c>
      <c r="K166" t="str">
        <f t="shared" si="9"/>
        <v>5-10 LPA</v>
      </c>
      <c r="L166" t="str">
        <f t="shared" si="10"/>
        <v>3-5 Years</v>
      </c>
      <c r="M166">
        <f t="shared" si="11"/>
        <v>0</v>
      </c>
    </row>
    <row r="167" spans="1:13" x14ac:dyDescent="0.25">
      <c r="A167" t="s">
        <v>390</v>
      </c>
      <c r="B167">
        <v>34</v>
      </c>
      <c r="C167">
        <v>924588</v>
      </c>
      <c r="D167">
        <v>6</v>
      </c>
      <c r="E167" t="s">
        <v>25</v>
      </c>
      <c r="F167">
        <v>3</v>
      </c>
      <c r="G167" t="s">
        <v>74</v>
      </c>
      <c r="H167" t="s">
        <v>31</v>
      </c>
      <c r="I167" t="s">
        <v>14</v>
      </c>
      <c r="J167" t="str">
        <f t="shared" si="8"/>
        <v>30-39</v>
      </c>
      <c r="K167" t="str">
        <f t="shared" si="9"/>
        <v>5-10 LPA</v>
      </c>
      <c r="L167" t="str">
        <f t="shared" si="10"/>
        <v>6-10 Years</v>
      </c>
      <c r="M167">
        <f t="shared" si="11"/>
        <v>0</v>
      </c>
    </row>
    <row r="168" spans="1:13" x14ac:dyDescent="0.25">
      <c r="A168" t="s">
        <v>392</v>
      </c>
      <c r="B168">
        <v>21</v>
      </c>
      <c r="C168">
        <v>1277431</v>
      </c>
      <c r="D168">
        <v>0</v>
      </c>
      <c r="E168" t="s">
        <v>25</v>
      </c>
      <c r="F168">
        <v>3</v>
      </c>
      <c r="G168" t="s">
        <v>32</v>
      </c>
      <c r="H168" t="s">
        <v>45</v>
      </c>
      <c r="I168" t="s">
        <v>22</v>
      </c>
      <c r="J168" t="str">
        <f t="shared" si="8"/>
        <v>21-24</v>
      </c>
      <c r="K168" t="str">
        <f t="shared" si="9"/>
        <v>10-15 LPA</v>
      </c>
      <c r="L168" t="str">
        <f t="shared" si="10"/>
        <v>0-2 Years</v>
      </c>
      <c r="M168">
        <f t="shared" si="11"/>
        <v>0</v>
      </c>
    </row>
    <row r="169" spans="1:13" x14ac:dyDescent="0.25">
      <c r="A169" t="s">
        <v>394</v>
      </c>
      <c r="B169">
        <v>36</v>
      </c>
      <c r="C169">
        <v>1108902</v>
      </c>
      <c r="D169">
        <v>7</v>
      </c>
      <c r="E169" t="s">
        <v>25</v>
      </c>
      <c r="F169">
        <v>3</v>
      </c>
      <c r="G169" t="s">
        <v>40</v>
      </c>
      <c r="H169" t="s">
        <v>23</v>
      </c>
      <c r="I169" t="s">
        <v>14</v>
      </c>
      <c r="J169" t="str">
        <f t="shared" si="8"/>
        <v>30-39</v>
      </c>
      <c r="K169" t="str">
        <f t="shared" si="9"/>
        <v>10-15 LPA</v>
      </c>
      <c r="L169" t="str">
        <f t="shared" si="10"/>
        <v>6-10 Years</v>
      </c>
      <c r="M169">
        <f t="shared" si="11"/>
        <v>0</v>
      </c>
    </row>
    <row r="170" spans="1:13" x14ac:dyDescent="0.25">
      <c r="A170" t="s">
        <v>396</v>
      </c>
      <c r="B170">
        <v>21</v>
      </c>
      <c r="C170">
        <v>715272</v>
      </c>
      <c r="D170">
        <v>0</v>
      </c>
      <c r="E170" t="s">
        <v>25</v>
      </c>
      <c r="F170">
        <v>3</v>
      </c>
      <c r="G170" t="s">
        <v>136</v>
      </c>
      <c r="H170" t="s">
        <v>61</v>
      </c>
      <c r="I170" t="s">
        <v>14</v>
      </c>
      <c r="J170" t="str">
        <f t="shared" si="8"/>
        <v>21-24</v>
      </c>
      <c r="K170" t="str">
        <f t="shared" si="9"/>
        <v>5-10 LPA</v>
      </c>
      <c r="L170" t="str">
        <f t="shared" si="10"/>
        <v>0-2 Years</v>
      </c>
      <c r="M170">
        <f t="shared" si="11"/>
        <v>0</v>
      </c>
    </row>
    <row r="171" spans="1:13" x14ac:dyDescent="0.25">
      <c r="A171" t="s">
        <v>398</v>
      </c>
      <c r="B171">
        <v>27</v>
      </c>
      <c r="C171">
        <v>1763265</v>
      </c>
      <c r="D171">
        <v>6</v>
      </c>
      <c r="E171" t="s">
        <v>25</v>
      </c>
      <c r="F171">
        <v>1</v>
      </c>
      <c r="G171" t="s">
        <v>32</v>
      </c>
      <c r="H171" t="s">
        <v>28</v>
      </c>
      <c r="I171" t="s">
        <v>14</v>
      </c>
      <c r="J171" t="str">
        <f t="shared" si="8"/>
        <v>25-29</v>
      </c>
      <c r="K171" t="str">
        <f t="shared" si="9"/>
        <v>15+ LPA</v>
      </c>
      <c r="L171" t="str">
        <f t="shared" si="10"/>
        <v>6-10 Years</v>
      </c>
      <c r="M171">
        <f t="shared" si="11"/>
        <v>0</v>
      </c>
    </row>
    <row r="172" spans="1:13" x14ac:dyDescent="0.25">
      <c r="A172" t="s">
        <v>399</v>
      </c>
      <c r="B172">
        <v>42</v>
      </c>
      <c r="C172">
        <v>1513697</v>
      </c>
      <c r="D172">
        <v>6</v>
      </c>
      <c r="E172" t="s">
        <v>25</v>
      </c>
      <c r="F172">
        <v>3</v>
      </c>
      <c r="G172" t="s">
        <v>32</v>
      </c>
      <c r="H172" t="s">
        <v>61</v>
      </c>
      <c r="I172" t="s">
        <v>14</v>
      </c>
      <c r="J172" t="str">
        <f t="shared" si="8"/>
        <v>40-49</v>
      </c>
      <c r="K172" t="str">
        <f t="shared" si="9"/>
        <v>15+ LPA</v>
      </c>
      <c r="L172" t="str">
        <f t="shared" si="10"/>
        <v>6-10 Years</v>
      </c>
      <c r="M172">
        <f t="shared" si="11"/>
        <v>0</v>
      </c>
    </row>
    <row r="173" spans="1:13" x14ac:dyDescent="0.25">
      <c r="A173" t="s">
        <v>401</v>
      </c>
      <c r="B173">
        <v>36</v>
      </c>
      <c r="C173">
        <v>925307</v>
      </c>
      <c r="D173">
        <v>10</v>
      </c>
      <c r="E173" t="s">
        <v>25</v>
      </c>
      <c r="F173">
        <v>2</v>
      </c>
      <c r="G173" t="s">
        <v>40</v>
      </c>
      <c r="H173" t="s">
        <v>78</v>
      </c>
      <c r="I173" t="s">
        <v>14</v>
      </c>
      <c r="J173" t="str">
        <f t="shared" si="8"/>
        <v>30-39</v>
      </c>
      <c r="K173" t="str">
        <f t="shared" si="9"/>
        <v>5-10 LPA</v>
      </c>
      <c r="L173" t="str">
        <f t="shared" si="10"/>
        <v>6-10 Years</v>
      </c>
      <c r="M173">
        <f t="shared" si="11"/>
        <v>0</v>
      </c>
    </row>
    <row r="174" spans="1:13" x14ac:dyDescent="0.25">
      <c r="A174" t="s">
        <v>403</v>
      </c>
      <c r="B174">
        <v>31</v>
      </c>
      <c r="C174">
        <v>969881</v>
      </c>
      <c r="D174">
        <v>2</v>
      </c>
      <c r="E174" t="s">
        <v>25</v>
      </c>
      <c r="F174">
        <v>3</v>
      </c>
      <c r="G174" t="s">
        <v>40</v>
      </c>
      <c r="H174" t="s">
        <v>28</v>
      </c>
      <c r="I174" t="s">
        <v>14</v>
      </c>
      <c r="J174" t="str">
        <f t="shared" si="8"/>
        <v>30-39</v>
      </c>
      <c r="K174" t="str">
        <f t="shared" si="9"/>
        <v>5-10 LPA</v>
      </c>
      <c r="L174" t="str">
        <f t="shared" si="10"/>
        <v>0-2 Years</v>
      </c>
      <c r="M174">
        <f t="shared" si="11"/>
        <v>0</v>
      </c>
    </row>
    <row r="175" spans="1:13" x14ac:dyDescent="0.25">
      <c r="A175" t="s">
        <v>405</v>
      </c>
      <c r="B175">
        <v>27</v>
      </c>
      <c r="C175">
        <v>784669</v>
      </c>
      <c r="D175">
        <v>0</v>
      </c>
      <c r="E175" t="s">
        <v>25</v>
      </c>
      <c r="F175">
        <v>2</v>
      </c>
      <c r="G175" t="s">
        <v>136</v>
      </c>
      <c r="H175" t="s">
        <v>45</v>
      </c>
      <c r="I175" t="s">
        <v>22</v>
      </c>
      <c r="J175" t="str">
        <f t="shared" si="8"/>
        <v>25-29</v>
      </c>
      <c r="K175" t="str">
        <f t="shared" si="9"/>
        <v>5-10 LPA</v>
      </c>
      <c r="L175" t="str">
        <f t="shared" si="10"/>
        <v>0-2 Years</v>
      </c>
      <c r="M175">
        <f t="shared" si="11"/>
        <v>0</v>
      </c>
    </row>
    <row r="176" spans="1:13" x14ac:dyDescent="0.25">
      <c r="A176" t="s">
        <v>406</v>
      </c>
      <c r="B176">
        <v>44</v>
      </c>
      <c r="C176">
        <v>1580767</v>
      </c>
      <c r="D176">
        <v>13</v>
      </c>
      <c r="E176" t="s">
        <v>19</v>
      </c>
      <c r="F176">
        <v>3</v>
      </c>
      <c r="G176" t="s">
        <v>16</v>
      </c>
      <c r="H176" t="s">
        <v>61</v>
      </c>
      <c r="I176" t="s">
        <v>14</v>
      </c>
      <c r="J176" t="str">
        <f t="shared" si="8"/>
        <v>40-49</v>
      </c>
      <c r="K176" t="str">
        <f t="shared" si="9"/>
        <v>15+ LPA</v>
      </c>
      <c r="L176" t="str">
        <f t="shared" si="10"/>
        <v>10+ Years</v>
      </c>
      <c r="M176">
        <f t="shared" si="11"/>
        <v>1</v>
      </c>
    </row>
    <row r="177" spans="1:13" x14ac:dyDescent="0.25">
      <c r="A177" t="s">
        <v>408</v>
      </c>
      <c r="B177">
        <v>31</v>
      </c>
      <c r="C177">
        <v>900896</v>
      </c>
      <c r="D177">
        <v>5</v>
      </c>
      <c r="E177" t="s">
        <v>25</v>
      </c>
      <c r="F177">
        <v>3</v>
      </c>
      <c r="G177" t="s">
        <v>74</v>
      </c>
      <c r="H177" t="s">
        <v>23</v>
      </c>
      <c r="I177" t="s">
        <v>22</v>
      </c>
      <c r="J177" t="str">
        <f t="shared" si="8"/>
        <v>30-39</v>
      </c>
      <c r="K177" t="str">
        <f t="shared" si="9"/>
        <v>5-10 LPA</v>
      </c>
      <c r="L177" t="str">
        <f t="shared" si="10"/>
        <v>3-5 Years</v>
      </c>
      <c r="M177">
        <f t="shared" si="11"/>
        <v>0</v>
      </c>
    </row>
    <row r="178" spans="1:13" x14ac:dyDescent="0.25">
      <c r="A178" t="s">
        <v>410</v>
      </c>
      <c r="B178">
        <v>40</v>
      </c>
      <c r="C178">
        <v>997244</v>
      </c>
      <c r="D178">
        <v>9</v>
      </c>
      <c r="E178" t="s">
        <v>25</v>
      </c>
      <c r="F178">
        <v>3</v>
      </c>
      <c r="G178" t="s">
        <v>74</v>
      </c>
      <c r="H178" t="s">
        <v>50</v>
      </c>
      <c r="I178" t="s">
        <v>22</v>
      </c>
      <c r="J178" t="str">
        <f t="shared" si="8"/>
        <v>40-49</v>
      </c>
      <c r="K178" t="str">
        <f t="shared" si="9"/>
        <v>5-10 LPA</v>
      </c>
      <c r="L178" t="str">
        <f t="shared" si="10"/>
        <v>6-10 Years</v>
      </c>
      <c r="M178">
        <f t="shared" si="11"/>
        <v>0</v>
      </c>
    </row>
    <row r="179" spans="1:13" x14ac:dyDescent="0.25">
      <c r="A179" t="s">
        <v>412</v>
      </c>
      <c r="B179">
        <v>27</v>
      </c>
      <c r="C179">
        <v>1252609</v>
      </c>
      <c r="D179">
        <v>1</v>
      </c>
      <c r="E179" t="s">
        <v>19</v>
      </c>
      <c r="F179">
        <v>3</v>
      </c>
      <c r="G179" t="s">
        <v>32</v>
      </c>
      <c r="H179" t="s">
        <v>31</v>
      </c>
      <c r="I179" t="s">
        <v>14</v>
      </c>
      <c r="J179" t="str">
        <f t="shared" si="8"/>
        <v>25-29</v>
      </c>
      <c r="K179" t="str">
        <f t="shared" si="9"/>
        <v>10-15 LPA</v>
      </c>
      <c r="L179" t="str">
        <f t="shared" si="10"/>
        <v>0-2 Years</v>
      </c>
      <c r="M179">
        <f t="shared" si="11"/>
        <v>1</v>
      </c>
    </row>
    <row r="180" spans="1:13" x14ac:dyDescent="0.25">
      <c r="A180" t="s">
        <v>414</v>
      </c>
      <c r="B180">
        <v>29</v>
      </c>
      <c r="C180">
        <v>1375212</v>
      </c>
      <c r="D180">
        <v>5</v>
      </c>
      <c r="E180" t="s">
        <v>25</v>
      </c>
      <c r="F180">
        <v>3</v>
      </c>
      <c r="G180" t="s">
        <v>16</v>
      </c>
      <c r="H180" t="s">
        <v>31</v>
      </c>
      <c r="I180" t="s">
        <v>22</v>
      </c>
      <c r="J180" t="str">
        <f t="shared" si="8"/>
        <v>25-29</v>
      </c>
      <c r="K180" t="str">
        <f t="shared" si="9"/>
        <v>10-15 LPA</v>
      </c>
      <c r="L180" t="str">
        <f t="shared" si="10"/>
        <v>3-5 Years</v>
      </c>
      <c r="M180">
        <f t="shared" si="11"/>
        <v>0</v>
      </c>
    </row>
    <row r="181" spans="1:13" x14ac:dyDescent="0.25">
      <c r="A181" t="s">
        <v>416</v>
      </c>
      <c r="B181">
        <v>43</v>
      </c>
      <c r="C181">
        <v>1902173</v>
      </c>
      <c r="D181">
        <v>11</v>
      </c>
      <c r="E181" t="s">
        <v>25</v>
      </c>
      <c r="F181">
        <v>3</v>
      </c>
      <c r="G181" t="s">
        <v>46</v>
      </c>
      <c r="H181" t="s">
        <v>61</v>
      </c>
      <c r="I181" t="s">
        <v>14</v>
      </c>
      <c r="J181" t="str">
        <f t="shared" si="8"/>
        <v>40-49</v>
      </c>
      <c r="K181" t="str">
        <f t="shared" si="9"/>
        <v>15+ LPA</v>
      </c>
      <c r="L181" t="str">
        <f t="shared" si="10"/>
        <v>10+ Years</v>
      </c>
      <c r="M181">
        <f t="shared" si="11"/>
        <v>0</v>
      </c>
    </row>
    <row r="182" spans="1:13" x14ac:dyDescent="0.25">
      <c r="A182" t="s">
        <v>418</v>
      </c>
      <c r="B182">
        <v>38</v>
      </c>
      <c r="C182">
        <v>1742241</v>
      </c>
      <c r="D182">
        <v>12</v>
      </c>
      <c r="E182" t="s">
        <v>25</v>
      </c>
      <c r="F182">
        <v>3</v>
      </c>
      <c r="G182" t="s">
        <v>46</v>
      </c>
      <c r="H182" t="s">
        <v>50</v>
      </c>
      <c r="I182" t="s">
        <v>14</v>
      </c>
      <c r="J182" t="str">
        <f t="shared" si="8"/>
        <v>30-39</v>
      </c>
      <c r="K182" t="str">
        <f t="shared" si="9"/>
        <v>15+ LPA</v>
      </c>
      <c r="L182" t="str">
        <f t="shared" si="10"/>
        <v>10+ Years</v>
      </c>
      <c r="M182">
        <f t="shared" si="11"/>
        <v>0</v>
      </c>
    </row>
    <row r="183" spans="1:13" x14ac:dyDescent="0.25">
      <c r="A183" t="s">
        <v>420</v>
      </c>
      <c r="B183">
        <v>28</v>
      </c>
      <c r="C183">
        <v>498671</v>
      </c>
      <c r="D183">
        <v>2</v>
      </c>
      <c r="E183" t="s">
        <v>25</v>
      </c>
      <c r="F183">
        <v>2</v>
      </c>
      <c r="G183" t="s">
        <v>40</v>
      </c>
      <c r="H183" t="s">
        <v>23</v>
      </c>
      <c r="I183" t="s">
        <v>14</v>
      </c>
      <c r="J183" t="str">
        <f t="shared" si="8"/>
        <v>25-29</v>
      </c>
      <c r="K183" t="str">
        <f t="shared" si="9"/>
        <v>Below 5 LPA</v>
      </c>
      <c r="L183" t="str">
        <f t="shared" si="10"/>
        <v>0-2 Years</v>
      </c>
      <c r="M183">
        <f t="shared" si="11"/>
        <v>0</v>
      </c>
    </row>
    <row r="184" spans="1:13" x14ac:dyDescent="0.25">
      <c r="A184" t="s">
        <v>422</v>
      </c>
      <c r="B184">
        <v>27</v>
      </c>
      <c r="C184">
        <v>1819136</v>
      </c>
      <c r="D184">
        <v>5</v>
      </c>
      <c r="E184" t="s">
        <v>25</v>
      </c>
      <c r="F184">
        <v>3</v>
      </c>
      <c r="G184" t="s">
        <v>32</v>
      </c>
      <c r="H184" t="s">
        <v>50</v>
      </c>
      <c r="I184" t="s">
        <v>14</v>
      </c>
      <c r="J184" t="str">
        <f t="shared" si="8"/>
        <v>25-29</v>
      </c>
      <c r="K184" t="str">
        <f t="shared" si="9"/>
        <v>15+ LPA</v>
      </c>
      <c r="L184" t="str">
        <f t="shared" si="10"/>
        <v>3-5 Years</v>
      </c>
      <c r="M184">
        <f t="shared" si="11"/>
        <v>0</v>
      </c>
    </row>
    <row r="185" spans="1:13" x14ac:dyDescent="0.25">
      <c r="A185" t="s">
        <v>424</v>
      </c>
      <c r="B185">
        <v>46</v>
      </c>
      <c r="C185">
        <v>1960211</v>
      </c>
      <c r="D185">
        <v>18</v>
      </c>
      <c r="E185" t="s">
        <v>25</v>
      </c>
      <c r="F185">
        <v>3</v>
      </c>
      <c r="G185" t="s">
        <v>32</v>
      </c>
      <c r="H185" t="s">
        <v>39</v>
      </c>
      <c r="I185" t="s">
        <v>22</v>
      </c>
      <c r="J185" t="str">
        <f t="shared" si="8"/>
        <v>40-49</v>
      </c>
      <c r="K185" t="str">
        <f t="shared" si="9"/>
        <v>15+ LPA</v>
      </c>
      <c r="L185" t="str">
        <f t="shared" si="10"/>
        <v>10+ Years</v>
      </c>
      <c r="M185">
        <f t="shared" si="11"/>
        <v>0</v>
      </c>
    </row>
    <row r="186" spans="1:13" x14ac:dyDescent="0.25">
      <c r="A186" t="s">
        <v>426</v>
      </c>
      <c r="B186">
        <v>25</v>
      </c>
      <c r="C186">
        <v>1775011</v>
      </c>
      <c r="D186">
        <v>4</v>
      </c>
      <c r="E186" t="s">
        <v>25</v>
      </c>
      <c r="F186">
        <v>3</v>
      </c>
      <c r="G186" t="s">
        <v>32</v>
      </c>
      <c r="H186" t="s">
        <v>50</v>
      </c>
      <c r="I186" t="s">
        <v>14</v>
      </c>
      <c r="J186" t="str">
        <f t="shared" si="8"/>
        <v>25-29</v>
      </c>
      <c r="K186" t="str">
        <f t="shared" si="9"/>
        <v>15+ LPA</v>
      </c>
      <c r="L186" t="str">
        <f t="shared" si="10"/>
        <v>3-5 Years</v>
      </c>
      <c r="M186">
        <f t="shared" si="11"/>
        <v>0</v>
      </c>
    </row>
    <row r="187" spans="1:13" x14ac:dyDescent="0.25">
      <c r="A187" t="s">
        <v>428</v>
      </c>
      <c r="B187">
        <v>29</v>
      </c>
      <c r="C187">
        <v>1391523</v>
      </c>
      <c r="D187">
        <v>1</v>
      </c>
      <c r="E187" t="s">
        <v>25</v>
      </c>
      <c r="F187">
        <v>3</v>
      </c>
      <c r="G187" t="s">
        <v>46</v>
      </c>
      <c r="H187" t="s">
        <v>85</v>
      </c>
      <c r="I187" t="s">
        <v>22</v>
      </c>
      <c r="J187" t="str">
        <f t="shared" si="8"/>
        <v>25-29</v>
      </c>
      <c r="K187" t="str">
        <f t="shared" si="9"/>
        <v>10-15 LPA</v>
      </c>
      <c r="L187" t="str">
        <f t="shared" si="10"/>
        <v>0-2 Years</v>
      </c>
      <c r="M187">
        <f t="shared" si="11"/>
        <v>0</v>
      </c>
    </row>
    <row r="188" spans="1:13" x14ac:dyDescent="0.25">
      <c r="A188" t="s">
        <v>430</v>
      </c>
      <c r="B188">
        <v>26</v>
      </c>
      <c r="C188">
        <v>1055336</v>
      </c>
      <c r="D188">
        <v>3</v>
      </c>
      <c r="E188" t="s">
        <v>19</v>
      </c>
      <c r="F188">
        <v>3</v>
      </c>
      <c r="G188" t="s">
        <v>54</v>
      </c>
      <c r="H188" t="s">
        <v>31</v>
      </c>
      <c r="I188" t="s">
        <v>14</v>
      </c>
      <c r="J188" t="str">
        <f t="shared" si="8"/>
        <v>25-29</v>
      </c>
      <c r="K188" t="str">
        <f t="shared" si="9"/>
        <v>10-15 LPA</v>
      </c>
      <c r="L188" t="str">
        <f t="shared" si="10"/>
        <v>3-5 Years</v>
      </c>
      <c r="M188">
        <f t="shared" si="11"/>
        <v>1</v>
      </c>
    </row>
    <row r="189" spans="1:13" x14ac:dyDescent="0.25">
      <c r="A189" t="s">
        <v>432</v>
      </c>
      <c r="B189">
        <v>36</v>
      </c>
      <c r="C189">
        <v>705189</v>
      </c>
      <c r="D189">
        <v>5</v>
      </c>
      <c r="E189" t="s">
        <v>25</v>
      </c>
      <c r="F189">
        <v>3</v>
      </c>
      <c r="G189" t="s">
        <v>16</v>
      </c>
      <c r="H189" t="s">
        <v>28</v>
      </c>
      <c r="I189" t="s">
        <v>14</v>
      </c>
      <c r="J189" t="str">
        <f t="shared" si="8"/>
        <v>30-39</v>
      </c>
      <c r="K189" t="str">
        <f t="shared" si="9"/>
        <v>5-10 LPA</v>
      </c>
      <c r="L189" t="str">
        <f t="shared" si="10"/>
        <v>3-5 Years</v>
      </c>
      <c r="M189">
        <f t="shared" si="11"/>
        <v>0</v>
      </c>
    </row>
    <row r="190" spans="1:13" x14ac:dyDescent="0.25">
      <c r="A190" t="s">
        <v>434</v>
      </c>
      <c r="B190">
        <v>47</v>
      </c>
      <c r="C190">
        <v>2125117</v>
      </c>
      <c r="D190">
        <v>10</v>
      </c>
      <c r="E190" t="s">
        <v>25</v>
      </c>
      <c r="F190">
        <v>4</v>
      </c>
      <c r="G190" t="s">
        <v>32</v>
      </c>
      <c r="H190" t="s">
        <v>85</v>
      </c>
      <c r="I190" t="s">
        <v>14</v>
      </c>
      <c r="J190" t="str">
        <f t="shared" si="8"/>
        <v>40-49</v>
      </c>
      <c r="K190" t="str">
        <f t="shared" si="9"/>
        <v>15+ LPA</v>
      </c>
      <c r="L190" t="str">
        <f t="shared" si="10"/>
        <v>6-10 Years</v>
      </c>
      <c r="M190">
        <f t="shared" si="11"/>
        <v>0</v>
      </c>
    </row>
    <row r="191" spans="1:13" x14ac:dyDescent="0.25">
      <c r="A191" t="s">
        <v>436</v>
      </c>
      <c r="B191">
        <v>31</v>
      </c>
      <c r="C191">
        <v>1224099</v>
      </c>
      <c r="D191">
        <v>5</v>
      </c>
      <c r="E191" t="s">
        <v>25</v>
      </c>
      <c r="F191">
        <v>4</v>
      </c>
      <c r="G191" t="s">
        <v>136</v>
      </c>
      <c r="H191" t="s">
        <v>39</v>
      </c>
      <c r="I191" t="s">
        <v>22</v>
      </c>
      <c r="J191" t="str">
        <f t="shared" si="8"/>
        <v>30-39</v>
      </c>
      <c r="K191" t="str">
        <f t="shared" si="9"/>
        <v>10-15 LPA</v>
      </c>
      <c r="L191" t="str">
        <f t="shared" si="10"/>
        <v>3-5 Years</v>
      </c>
      <c r="M191">
        <f t="shared" si="11"/>
        <v>0</v>
      </c>
    </row>
    <row r="192" spans="1:13" x14ac:dyDescent="0.25">
      <c r="A192" t="s">
        <v>438</v>
      </c>
      <c r="B192">
        <v>28</v>
      </c>
      <c r="C192">
        <v>741708</v>
      </c>
      <c r="D192">
        <v>3</v>
      </c>
      <c r="E192" t="s">
        <v>25</v>
      </c>
      <c r="F192">
        <v>5</v>
      </c>
      <c r="G192" t="s">
        <v>136</v>
      </c>
      <c r="H192" t="s">
        <v>61</v>
      </c>
      <c r="I192" t="s">
        <v>22</v>
      </c>
      <c r="J192" t="str">
        <f t="shared" si="8"/>
        <v>25-29</v>
      </c>
      <c r="K192" t="str">
        <f t="shared" si="9"/>
        <v>5-10 LPA</v>
      </c>
      <c r="L192" t="str">
        <f t="shared" si="10"/>
        <v>3-5 Years</v>
      </c>
      <c r="M192">
        <f t="shared" si="11"/>
        <v>0</v>
      </c>
    </row>
    <row r="193" spans="1:13" x14ac:dyDescent="0.25">
      <c r="A193" t="s">
        <v>440</v>
      </c>
      <c r="B193">
        <v>41</v>
      </c>
      <c r="C193">
        <v>1736098</v>
      </c>
      <c r="D193">
        <v>10</v>
      </c>
      <c r="E193" t="s">
        <v>25</v>
      </c>
      <c r="F193">
        <v>2</v>
      </c>
      <c r="G193" t="s">
        <v>32</v>
      </c>
      <c r="H193" t="s">
        <v>15</v>
      </c>
      <c r="I193" t="s">
        <v>22</v>
      </c>
      <c r="J193" t="str">
        <f t="shared" si="8"/>
        <v>40-49</v>
      </c>
      <c r="K193" t="str">
        <f t="shared" si="9"/>
        <v>15+ LPA</v>
      </c>
      <c r="L193" t="str">
        <f t="shared" si="10"/>
        <v>6-10 Years</v>
      </c>
      <c r="M193">
        <f t="shared" si="11"/>
        <v>0</v>
      </c>
    </row>
    <row r="194" spans="1:13" x14ac:dyDescent="0.25">
      <c r="A194" t="s">
        <v>442</v>
      </c>
      <c r="B194">
        <v>29</v>
      </c>
      <c r="C194">
        <v>932698</v>
      </c>
      <c r="D194">
        <v>1</v>
      </c>
      <c r="E194" t="s">
        <v>25</v>
      </c>
      <c r="F194">
        <v>3</v>
      </c>
      <c r="G194" t="s">
        <v>66</v>
      </c>
      <c r="H194" t="s">
        <v>45</v>
      </c>
      <c r="I194" t="s">
        <v>14</v>
      </c>
      <c r="J194" t="str">
        <f t="shared" si="8"/>
        <v>25-29</v>
      </c>
      <c r="K194" t="str">
        <f t="shared" si="9"/>
        <v>5-10 LPA</v>
      </c>
      <c r="L194" t="str">
        <f t="shared" si="10"/>
        <v>0-2 Years</v>
      </c>
      <c r="M194">
        <f t="shared" si="11"/>
        <v>0</v>
      </c>
    </row>
    <row r="195" spans="1:13" x14ac:dyDescent="0.25">
      <c r="A195" t="s">
        <v>443</v>
      </c>
      <c r="B195">
        <v>32</v>
      </c>
      <c r="C195">
        <v>1234532</v>
      </c>
      <c r="D195">
        <v>3</v>
      </c>
      <c r="E195" t="s">
        <v>25</v>
      </c>
      <c r="F195">
        <v>3</v>
      </c>
      <c r="G195" t="s">
        <v>32</v>
      </c>
      <c r="H195" t="s">
        <v>28</v>
      </c>
      <c r="I195" t="s">
        <v>14</v>
      </c>
      <c r="J195" t="str">
        <f t="shared" ref="J195:J258" si="12">IF(B195&lt;25,"21-24",
IF(B195&lt;30,"25-29",
IF(B195&lt;40,"30-39",
IF(B195&lt;50,"40-49","50+"))))</f>
        <v>30-39</v>
      </c>
      <c r="K195" t="str">
        <f t="shared" ref="K195:K258" si="13">IF(C195&lt;500000,"Below 5 LPA",
IF(C195&lt;1000000,"5-10 LPA",
IF(C195&lt;1500000,"10-15 LPA","15+ LPA")))</f>
        <v>10-15 LPA</v>
      </c>
      <c r="L195" t="str">
        <f t="shared" ref="L195:L258" si="14">IF(D195&lt;=2,"0-2 Years",
IF(D195&lt;=5,"3-5 Years",
IF(D195&lt;=10,"6-10 Years","10+ Years")))</f>
        <v>3-5 Years</v>
      </c>
      <c r="M195">
        <f t="shared" ref="M195:M258" si="15">IF(E195="Yes",1,0)</f>
        <v>0</v>
      </c>
    </row>
    <row r="196" spans="1:13" x14ac:dyDescent="0.25">
      <c r="A196" t="s">
        <v>445</v>
      </c>
      <c r="B196">
        <v>27</v>
      </c>
      <c r="C196">
        <v>1034271</v>
      </c>
      <c r="D196">
        <v>3</v>
      </c>
      <c r="E196" t="s">
        <v>25</v>
      </c>
      <c r="F196">
        <v>2</v>
      </c>
      <c r="G196" t="s">
        <v>46</v>
      </c>
      <c r="H196" t="s">
        <v>15</v>
      </c>
      <c r="I196" t="s">
        <v>14</v>
      </c>
      <c r="J196" t="str">
        <f t="shared" si="12"/>
        <v>25-29</v>
      </c>
      <c r="K196" t="str">
        <f t="shared" si="13"/>
        <v>10-15 LPA</v>
      </c>
      <c r="L196" t="str">
        <f t="shared" si="14"/>
        <v>3-5 Years</v>
      </c>
      <c r="M196">
        <f t="shared" si="15"/>
        <v>0</v>
      </c>
    </row>
    <row r="197" spans="1:13" x14ac:dyDescent="0.25">
      <c r="A197" t="s">
        <v>447</v>
      </c>
      <c r="B197">
        <v>29</v>
      </c>
      <c r="C197">
        <v>1000337</v>
      </c>
      <c r="D197">
        <v>3</v>
      </c>
      <c r="E197" t="s">
        <v>25</v>
      </c>
      <c r="F197">
        <v>4</v>
      </c>
      <c r="G197" t="s">
        <v>32</v>
      </c>
      <c r="H197" t="s">
        <v>31</v>
      </c>
      <c r="I197" t="s">
        <v>14</v>
      </c>
      <c r="J197" t="str">
        <f t="shared" si="12"/>
        <v>25-29</v>
      </c>
      <c r="K197" t="str">
        <f t="shared" si="13"/>
        <v>10-15 LPA</v>
      </c>
      <c r="L197" t="str">
        <f t="shared" si="14"/>
        <v>3-5 Years</v>
      </c>
      <c r="M197">
        <f t="shared" si="15"/>
        <v>0</v>
      </c>
    </row>
    <row r="198" spans="1:13" x14ac:dyDescent="0.25">
      <c r="A198" t="s">
        <v>449</v>
      </c>
      <c r="B198">
        <v>35</v>
      </c>
      <c r="C198">
        <v>1526434</v>
      </c>
      <c r="D198">
        <v>14</v>
      </c>
      <c r="E198" t="s">
        <v>25</v>
      </c>
      <c r="F198">
        <v>2</v>
      </c>
      <c r="G198" t="s">
        <v>136</v>
      </c>
      <c r="H198" t="s">
        <v>45</v>
      </c>
      <c r="I198" t="s">
        <v>14</v>
      </c>
      <c r="J198" t="str">
        <f t="shared" si="12"/>
        <v>30-39</v>
      </c>
      <c r="K198" t="str">
        <f t="shared" si="13"/>
        <v>15+ LPA</v>
      </c>
      <c r="L198" t="str">
        <f t="shared" si="14"/>
        <v>10+ Years</v>
      </c>
      <c r="M198">
        <f t="shared" si="15"/>
        <v>0</v>
      </c>
    </row>
    <row r="199" spans="1:13" x14ac:dyDescent="0.25">
      <c r="A199" t="s">
        <v>451</v>
      </c>
      <c r="B199">
        <v>38</v>
      </c>
      <c r="C199">
        <v>1068323</v>
      </c>
      <c r="D199">
        <v>10</v>
      </c>
      <c r="E199" t="s">
        <v>25</v>
      </c>
      <c r="F199">
        <v>3</v>
      </c>
      <c r="G199" t="s">
        <v>54</v>
      </c>
      <c r="H199" t="s">
        <v>39</v>
      </c>
      <c r="I199" t="s">
        <v>14</v>
      </c>
      <c r="J199" t="str">
        <f t="shared" si="12"/>
        <v>30-39</v>
      </c>
      <c r="K199" t="str">
        <f t="shared" si="13"/>
        <v>10-15 LPA</v>
      </c>
      <c r="L199" t="str">
        <f t="shared" si="14"/>
        <v>6-10 Years</v>
      </c>
      <c r="M199">
        <f t="shared" si="15"/>
        <v>0</v>
      </c>
    </row>
    <row r="200" spans="1:13" x14ac:dyDescent="0.25">
      <c r="A200" t="s">
        <v>453</v>
      </c>
      <c r="B200">
        <v>38</v>
      </c>
      <c r="C200">
        <v>1050530</v>
      </c>
      <c r="D200">
        <v>6</v>
      </c>
      <c r="E200" t="s">
        <v>25</v>
      </c>
      <c r="F200">
        <v>3</v>
      </c>
      <c r="G200" t="s">
        <v>16</v>
      </c>
      <c r="H200" t="s">
        <v>39</v>
      </c>
      <c r="I200" t="s">
        <v>14</v>
      </c>
      <c r="J200" t="str">
        <f t="shared" si="12"/>
        <v>30-39</v>
      </c>
      <c r="K200" t="str">
        <f t="shared" si="13"/>
        <v>10-15 LPA</v>
      </c>
      <c r="L200" t="str">
        <f t="shared" si="14"/>
        <v>6-10 Years</v>
      </c>
      <c r="M200">
        <f t="shared" si="15"/>
        <v>0</v>
      </c>
    </row>
    <row r="201" spans="1:13" x14ac:dyDescent="0.25">
      <c r="A201" t="s">
        <v>454</v>
      </c>
      <c r="B201">
        <v>31</v>
      </c>
      <c r="C201">
        <v>941005</v>
      </c>
      <c r="D201">
        <v>5</v>
      </c>
      <c r="E201" t="s">
        <v>25</v>
      </c>
      <c r="F201">
        <v>4</v>
      </c>
      <c r="G201" t="s">
        <v>16</v>
      </c>
      <c r="H201" t="s">
        <v>50</v>
      </c>
      <c r="I201" t="s">
        <v>22</v>
      </c>
      <c r="J201" t="str">
        <f t="shared" si="12"/>
        <v>30-39</v>
      </c>
      <c r="K201" t="str">
        <f t="shared" si="13"/>
        <v>5-10 LPA</v>
      </c>
      <c r="L201" t="str">
        <f t="shared" si="14"/>
        <v>3-5 Years</v>
      </c>
      <c r="M201">
        <f t="shared" si="15"/>
        <v>0</v>
      </c>
    </row>
    <row r="202" spans="1:13" x14ac:dyDescent="0.25">
      <c r="A202" t="s">
        <v>456</v>
      </c>
      <c r="B202">
        <v>25</v>
      </c>
      <c r="C202">
        <v>927809</v>
      </c>
      <c r="D202">
        <v>0</v>
      </c>
      <c r="E202" t="s">
        <v>19</v>
      </c>
      <c r="F202">
        <v>3</v>
      </c>
      <c r="G202" t="s">
        <v>54</v>
      </c>
      <c r="H202" t="s">
        <v>50</v>
      </c>
      <c r="I202" t="s">
        <v>14</v>
      </c>
      <c r="J202" t="str">
        <f t="shared" si="12"/>
        <v>25-29</v>
      </c>
      <c r="K202" t="str">
        <f t="shared" si="13"/>
        <v>5-10 LPA</v>
      </c>
      <c r="L202" t="str">
        <f t="shared" si="14"/>
        <v>0-2 Years</v>
      </c>
      <c r="M202">
        <f t="shared" si="15"/>
        <v>1</v>
      </c>
    </row>
    <row r="203" spans="1:13" x14ac:dyDescent="0.25">
      <c r="A203" t="s">
        <v>458</v>
      </c>
      <c r="B203">
        <v>24</v>
      </c>
      <c r="C203">
        <v>1292985</v>
      </c>
      <c r="D203">
        <v>3</v>
      </c>
      <c r="E203" t="s">
        <v>25</v>
      </c>
      <c r="F203">
        <v>3</v>
      </c>
      <c r="G203" t="s">
        <v>32</v>
      </c>
      <c r="H203" t="s">
        <v>28</v>
      </c>
      <c r="I203" t="s">
        <v>22</v>
      </c>
      <c r="J203" t="str">
        <f t="shared" si="12"/>
        <v>21-24</v>
      </c>
      <c r="K203" t="str">
        <f t="shared" si="13"/>
        <v>10-15 LPA</v>
      </c>
      <c r="L203" t="str">
        <f t="shared" si="14"/>
        <v>3-5 Years</v>
      </c>
      <c r="M203">
        <f t="shared" si="15"/>
        <v>0</v>
      </c>
    </row>
    <row r="204" spans="1:13" x14ac:dyDescent="0.25">
      <c r="A204" t="s">
        <v>460</v>
      </c>
      <c r="B204">
        <v>23</v>
      </c>
      <c r="C204">
        <v>644391</v>
      </c>
      <c r="D204">
        <v>1</v>
      </c>
      <c r="E204" t="s">
        <v>25</v>
      </c>
      <c r="F204">
        <v>2</v>
      </c>
      <c r="G204" t="s">
        <v>54</v>
      </c>
      <c r="H204" t="s">
        <v>39</v>
      </c>
      <c r="I204" t="s">
        <v>14</v>
      </c>
      <c r="J204" t="str">
        <f t="shared" si="12"/>
        <v>21-24</v>
      </c>
      <c r="K204" t="str">
        <f t="shared" si="13"/>
        <v>5-10 LPA</v>
      </c>
      <c r="L204" t="str">
        <f t="shared" si="14"/>
        <v>0-2 Years</v>
      </c>
      <c r="M204">
        <f t="shared" si="15"/>
        <v>0</v>
      </c>
    </row>
    <row r="205" spans="1:13" x14ac:dyDescent="0.25">
      <c r="A205" t="s">
        <v>462</v>
      </c>
      <c r="B205">
        <v>32</v>
      </c>
      <c r="C205">
        <v>602554</v>
      </c>
      <c r="D205">
        <v>2</v>
      </c>
      <c r="E205" t="s">
        <v>19</v>
      </c>
      <c r="F205">
        <v>3</v>
      </c>
      <c r="G205" t="s">
        <v>40</v>
      </c>
      <c r="H205" t="s">
        <v>50</v>
      </c>
      <c r="I205" t="s">
        <v>14</v>
      </c>
      <c r="J205" t="str">
        <f t="shared" si="12"/>
        <v>30-39</v>
      </c>
      <c r="K205" t="str">
        <f t="shared" si="13"/>
        <v>5-10 LPA</v>
      </c>
      <c r="L205" t="str">
        <f t="shared" si="14"/>
        <v>0-2 Years</v>
      </c>
      <c r="M205">
        <f t="shared" si="15"/>
        <v>1</v>
      </c>
    </row>
    <row r="206" spans="1:13" x14ac:dyDescent="0.25">
      <c r="A206" t="s">
        <v>464</v>
      </c>
      <c r="B206">
        <v>33</v>
      </c>
      <c r="C206">
        <v>1109641</v>
      </c>
      <c r="D206">
        <v>4</v>
      </c>
      <c r="E206" t="s">
        <v>25</v>
      </c>
      <c r="F206">
        <v>3</v>
      </c>
      <c r="G206" t="s">
        <v>54</v>
      </c>
      <c r="H206" t="s">
        <v>61</v>
      </c>
      <c r="I206" t="s">
        <v>14</v>
      </c>
      <c r="J206" t="str">
        <f t="shared" si="12"/>
        <v>30-39</v>
      </c>
      <c r="K206" t="str">
        <f t="shared" si="13"/>
        <v>10-15 LPA</v>
      </c>
      <c r="L206" t="str">
        <f t="shared" si="14"/>
        <v>3-5 Years</v>
      </c>
      <c r="M206">
        <f t="shared" si="15"/>
        <v>0</v>
      </c>
    </row>
    <row r="207" spans="1:13" x14ac:dyDescent="0.25">
      <c r="A207" t="s">
        <v>465</v>
      </c>
      <c r="B207">
        <v>41</v>
      </c>
      <c r="C207">
        <v>1650060</v>
      </c>
      <c r="D207">
        <v>14</v>
      </c>
      <c r="E207" t="s">
        <v>25</v>
      </c>
      <c r="F207">
        <v>2</v>
      </c>
      <c r="G207" t="s">
        <v>32</v>
      </c>
      <c r="H207" t="s">
        <v>39</v>
      </c>
      <c r="I207" t="s">
        <v>14</v>
      </c>
      <c r="J207" t="str">
        <f t="shared" si="12"/>
        <v>40-49</v>
      </c>
      <c r="K207" t="str">
        <f t="shared" si="13"/>
        <v>15+ LPA</v>
      </c>
      <c r="L207" t="str">
        <f t="shared" si="14"/>
        <v>10+ Years</v>
      </c>
      <c r="M207">
        <f t="shared" si="15"/>
        <v>0</v>
      </c>
    </row>
    <row r="208" spans="1:13" x14ac:dyDescent="0.25">
      <c r="A208" t="s">
        <v>467</v>
      </c>
      <c r="B208">
        <v>42</v>
      </c>
      <c r="C208">
        <v>1268163</v>
      </c>
      <c r="D208">
        <v>16</v>
      </c>
      <c r="E208" t="s">
        <v>25</v>
      </c>
      <c r="F208">
        <v>3</v>
      </c>
      <c r="G208" t="s">
        <v>54</v>
      </c>
      <c r="H208" t="s">
        <v>31</v>
      </c>
      <c r="I208" t="s">
        <v>22</v>
      </c>
      <c r="J208" t="str">
        <f t="shared" si="12"/>
        <v>40-49</v>
      </c>
      <c r="K208" t="str">
        <f t="shared" si="13"/>
        <v>10-15 LPA</v>
      </c>
      <c r="L208" t="str">
        <f t="shared" si="14"/>
        <v>10+ Years</v>
      </c>
      <c r="M208">
        <f t="shared" si="15"/>
        <v>0</v>
      </c>
    </row>
    <row r="209" spans="1:13" x14ac:dyDescent="0.25">
      <c r="A209" t="s">
        <v>469</v>
      </c>
      <c r="B209">
        <v>34</v>
      </c>
      <c r="C209">
        <v>773027</v>
      </c>
      <c r="D209">
        <v>4</v>
      </c>
      <c r="E209" t="s">
        <v>25</v>
      </c>
      <c r="F209">
        <v>4</v>
      </c>
      <c r="G209" t="s">
        <v>136</v>
      </c>
      <c r="H209" t="s">
        <v>85</v>
      </c>
      <c r="I209" t="s">
        <v>14</v>
      </c>
      <c r="J209" t="str">
        <f t="shared" si="12"/>
        <v>30-39</v>
      </c>
      <c r="K209" t="str">
        <f t="shared" si="13"/>
        <v>5-10 LPA</v>
      </c>
      <c r="L209" t="str">
        <f t="shared" si="14"/>
        <v>3-5 Years</v>
      </c>
      <c r="M209">
        <f t="shared" si="15"/>
        <v>0</v>
      </c>
    </row>
    <row r="210" spans="1:13" x14ac:dyDescent="0.25">
      <c r="A210" t="s">
        <v>470</v>
      </c>
      <c r="B210">
        <v>33</v>
      </c>
      <c r="C210">
        <v>1197371</v>
      </c>
      <c r="D210">
        <v>6</v>
      </c>
      <c r="E210" t="s">
        <v>25</v>
      </c>
      <c r="F210">
        <v>4</v>
      </c>
      <c r="G210" t="s">
        <v>32</v>
      </c>
      <c r="H210" t="s">
        <v>15</v>
      </c>
      <c r="I210" t="s">
        <v>14</v>
      </c>
      <c r="J210" t="str">
        <f t="shared" si="12"/>
        <v>30-39</v>
      </c>
      <c r="K210" t="str">
        <f t="shared" si="13"/>
        <v>10-15 LPA</v>
      </c>
      <c r="L210" t="str">
        <f t="shared" si="14"/>
        <v>6-10 Years</v>
      </c>
      <c r="M210">
        <f t="shared" si="15"/>
        <v>0</v>
      </c>
    </row>
    <row r="211" spans="1:13" x14ac:dyDescent="0.25">
      <c r="A211" t="s">
        <v>471</v>
      </c>
      <c r="B211">
        <v>33</v>
      </c>
      <c r="C211">
        <v>994661</v>
      </c>
      <c r="D211">
        <v>5</v>
      </c>
      <c r="E211" t="s">
        <v>25</v>
      </c>
      <c r="F211">
        <v>4</v>
      </c>
      <c r="G211" t="s">
        <v>74</v>
      </c>
      <c r="H211" t="s">
        <v>61</v>
      </c>
      <c r="I211" t="s">
        <v>14</v>
      </c>
      <c r="J211" t="str">
        <f t="shared" si="12"/>
        <v>30-39</v>
      </c>
      <c r="K211" t="str">
        <f t="shared" si="13"/>
        <v>5-10 LPA</v>
      </c>
      <c r="L211" t="str">
        <f t="shared" si="14"/>
        <v>3-5 Years</v>
      </c>
      <c r="M211">
        <f t="shared" si="15"/>
        <v>0</v>
      </c>
    </row>
    <row r="212" spans="1:13" x14ac:dyDescent="0.25">
      <c r="A212" t="s">
        <v>472</v>
      </c>
      <c r="B212">
        <v>34</v>
      </c>
      <c r="C212">
        <v>1481506</v>
      </c>
      <c r="D212">
        <v>7</v>
      </c>
      <c r="E212" t="s">
        <v>25</v>
      </c>
      <c r="F212">
        <v>4</v>
      </c>
      <c r="G212" t="s">
        <v>46</v>
      </c>
      <c r="H212" t="s">
        <v>31</v>
      </c>
      <c r="I212" t="s">
        <v>14</v>
      </c>
      <c r="J212" t="str">
        <f t="shared" si="12"/>
        <v>30-39</v>
      </c>
      <c r="K212" t="str">
        <f t="shared" si="13"/>
        <v>10-15 LPA</v>
      </c>
      <c r="L212" t="str">
        <f t="shared" si="14"/>
        <v>6-10 Years</v>
      </c>
      <c r="M212">
        <f t="shared" si="15"/>
        <v>0</v>
      </c>
    </row>
    <row r="213" spans="1:13" x14ac:dyDescent="0.25">
      <c r="A213" t="s">
        <v>474</v>
      </c>
      <c r="B213">
        <v>31</v>
      </c>
      <c r="C213">
        <v>1026914</v>
      </c>
      <c r="D213">
        <v>9</v>
      </c>
      <c r="E213" t="s">
        <v>25</v>
      </c>
      <c r="F213">
        <v>3</v>
      </c>
      <c r="G213" t="s">
        <v>54</v>
      </c>
      <c r="H213" t="s">
        <v>39</v>
      </c>
      <c r="I213" t="s">
        <v>14</v>
      </c>
      <c r="J213" t="str">
        <f t="shared" si="12"/>
        <v>30-39</v>
      </c>
      <c r="K213" t="str">
        <f t="shared" si="13"/>
        <v>10-15 LPA</v>
      </c>
      <c r="L213" t="str">
        <f t="shared" si="14"/>
        <v>6-10 Years</v>
      </c>
      <c r="M213">
        <f t="shared" si="15"/>
        <v>0</v>
      </c>
    </row>
    <row r="214" spans="1:13" x14ac:dyDescent="0.25">
      <c r="A214" t="s">
        <v>475</v>
      </c>
      <c r="B214">
        <v>44</v>
      </c>
      <c r="C214">
        <v>1073985</v>
      </c>
      <c r="D214">
        <v>14</v>
      </c>
      <c r="E214" t="s">
        <v>19</v>
      </c>
      <c r="F214">
        <v>3</v>
      </c>
      <c r="G214" t="s">
        <v>74</v>
      </c>
      <c r="H214" t="s">
        <v>78</v>
      </c>
      <c r="I214" t="s">
        <v>14</v>
      </c>
      <c r="J214" t="str">
        <f t="shared" si="12"/>
        <v>40-49</v>
      </c>
      <c r="K214" t="str">
        <f t="shared" si="13"/>
        <v>10-15 LPA</v>
      </c>
      <c r="L214" t="str">
        <f t="shared" si="14"/>
        <v>10+ Years</v>
      </c>
      <c r="M214">
        <f t="shared" si="15"/>
        <v>1</v>
      </c>
    </row>
    <row r="215" spans="1:13" x14ac:dyDescent="0.25">
      <c r="A215" t="s">
        <v>476</v>
      </c>
      <c r="B215">
        <v>35</v>
      </c>
      <c r="C215">
        <v>1113453</v>
      </c>
      <c r="D215">
        <v>7</v>
      </c>
      <c r="E215" t="s">
        <v>25</v>
      </c>
      <c r="F215">
        <v>3</v>
      </c>
      <c r="G215" t="s">
        <v>54</v>
      </c>
      <c r="H215" t="s">
        <v>50</v>
      </c>
      <c r="I215" t="s">
        <v>14</v>
      </c>
      <c r="J215" t="str">
        <f t="shared" si="12"/>
        <v>30-39</v>
      </c>
      <c r="K215" t="str">
        <f t="shared" si="13"/>
        <v>10-15 LPA</v>
      </c>
      <c r="L215" t="str">
        <f t="shared" si="14"/>
        <v>6-10 Years</v>
      </c>
      <c r="M215">
        <f t="shared" si="15"/>
        <v>0</v>
      </c>
    </row>
    <row r="216" spans="1:13" x14ac:dyDescent="0.25">
      <c r="A216" t="s">
        <v>478</v>
      </c>
      <c r="B216">
        <v>28</v>
      </c>
      <c r="C216">
        <v>489512</v>
      </c>
      <c r="D216">
        <v>0</v>
      </c>
      <c r="E216" t="s">
        <v>19</v>
      </c>
      <c r="F216">
        <v>2</v>
      </c>
      <c r="G216" t="s">
        <v>54</v>
      </c>
      <c r="H216" t="s">
        <v>28</v>
      </c>
      <c r="I216" t="s">
        <v>22</v>
      </c>
      <c r="J216" t="str">
        <f t="shared" si="12"/>
        <v>25-29</v>
      </c>
      <c r="K216" t="str">
        <f t="shared" si="13"/>
        <v>Below 5 LPA</v>
      </c>
      <c r="L216" t="str">
        <f t="shared" si="14"/>
        <v>0-2 Years</v>
      </c>
      <c r="M216">
        <f t="shared" si="15"/>
        <v>1</v>
      </c>
    </row>
    <row r="217" spans="1:13" x14ac:dyDescent="0.25">
      <c r="A217" t="s">
        <v>480</v>
      </c>
      <c r="B217">
        <v>24</v>
      </c>
      <c r="C217">
        <v>694032</v>
      </c>
      <c r="D217">
        <v>3</v>
      </c>
      <c r="E217" t="s">
        <v>25</v>
      </c>
      <c r="F217">
        <v>3</v>
      </c>
      <c r="G217" t="s">
        <v>74</v>
      </c>
      <c r="H217" t="s">
        <v>61</v>
      </c>
      <c r="I217" t="s">
        <v>22</v>
      </c>
      <c r="J217" t="str">
        <f t="shared" si="12"/>
        <v>21-24</v>
      </c>
      <c r="K217" t="str">
        <f t="shared" si="13"/>
        <v>5-10 LPA</v>
      </c>
      <c r="L217" t="str">
        <f t="shared" si="14"/>
        <v>3-5 Years</v>
      </c>
      <c r="M217">
        <f t="shared" si="15"/>
        <v>0</v>
      </c>
    </row>
    <row r="218" spans="1:13" x14ac:dyDescent="0.25">
      <c r="A218" t="s">
        <v>481</v>
      </c>
      <c r="B218">
        <v>40</v>
      </c>
      <c r="C218">
        <v>1669282</v>
      </c>
      <c r="D218">
        <v>8</v>
      </c>
      <c r="E218" t="s">
        <v>25</v>
      </c>
      <c r="F218">
        <v>2</v>
      </c>
      <c r="G218" t="s">
        <v>16</v>
      </c>
      <c r="H218" t="s">
        <v>45</v>
      </c>
      <c r="I218" t="s">
        <v>22</v>
      </c>
      <c r="J218" t="str">
        <f t="shared" si="12"/>
        <v>40-49</v>
      </c>
      <c r="K218" t="str">
        <f t="shared" si="13"/>
        <v>15+ LPA</v>
      </c>
      <c r="L218" t="str">
        <f t="shared" si="14"/>
        <v>6-10 Years</v>
      </c>
      <c r="M218">
        <f t="shared" si="15"/>
        <v>0</v>
      </c>
    </row>
    <row r="219" spans="1:13" x14ac:dyDescent="0.25">
      <c r="A219" t="s">
        <v>482</v>
      </c>
      <c r="B219">
        <v>29</v>
      </c>
      <c r="C219">
        <v>1681252</v>
      </c>
      <c r="D219">
        <v>8</v>
      </c>
      <c r="E219" t="s">
        <v>25</v>
      </c>
      <c r="F219">
        <v>3</v>
      </c>
      <c r="G219" t="s">
        <v>32</v>
      </c>
      <c r="H219" t="s">
        <v>78</v>
      </c>
      <c r="I219" t="s">
        <v>14</v>
      </c>
      <c r="J219" t="str">
        <f t="shared" si="12"/>
        <v>25-29</v>
      </c>
      <c r="K219" t="str">
        <f t="shared" si="13"/>
        <v>15+ LPA</v>
      </c>
      <c r="L219" t="str">
        <f t="shared" si="14"/>
        <v>6-10 Years</v>
      </c>
      <c r="M219">
        <f t="shared" si="15"/>
        <v>0</v>
      </c>
    </row>
    <row r="220" spans="1:13" x14ac:dyDescent="0.25">
      <c r="A220" t="s">
        <v>484</v>
      </c>
      <c r="B220">
        <v>39</v>
      </c>
      <c r="C220">
        <v>715379</v>
      </c>
      <c r="D220">
        <v>7</v>
      </c>
      <c r="E220" t="s">
        <v>25</v>
      </c>
      <c r="F220">
        <v>2</v>
      </c>
      <c r="G220" t="s">
        <v>54</v>
      </c>
      <c r="H220" t="s">
        <v>23</v>
      </c>
      <c r="I220" t="s">
        <v>14</v>
      </c>
      <c r="J220" t="str">
        <f t="shared" si="12"/>
        <v>30-39</v>
      </c>
      <c r="K220" t="str">
        <f t="shared" si="13"/>
        <v>5-10 LPA</v>
      </c>
      <c r="L220" t="str">
        <f t="shared" si="14"/>
        <v>6-10 Years</v>
      </c>
      <c r="M220">
        <f t="shared" si="15"/>
        <v>0</v>
      </c>
    </row>
    <row r="221" spans="1:13" x14ac:dyDescent="0.25">
      <c r="A221" t="s">
        <v>486</v>
      </c>
      <c r="B221">
        <v>37</v>
      </c>
      <c r="C221">
        <v>1531542</v>
      </c>
      <c r="D221">
        <v>8</v>
      </c>
      <c r="E221" t="s">
        <v>25</v>
      </c>
      <c r="F221">
        <v>5</v>
      </c>
      <c r="G221" t="s">
        <v>32</v>
      </c>
      <c r="H221" t="s">
        <v>61</v>
      </c>
      <c r="I221" t="s">
        <v>14</v>
      </c>
      <c r="J221" t="str">
        <f t="shared" si="12"/>
        <v>30-39</v>
      </c>
      <c r="K221" t="str">
        <f t="shared" si="13"/>
        <v>15+ LPA</v>
      </c>
      <c r="L221" t="str">
        <f t="shared" si="14"/>
        <v>6-10 Years</v>
      </c>
      <c r="M221">
        <f t="shared" si="15"/>
        <v>0</v>
      </c>
    </row>
    <row r="222" spans="1:13" x14ac:dyDescent="0.25">
      <c r="A222" t="s">
        <v>488</v>
      </c>
      <c r="B222">
        <v>45</v>
      </c>
      <c r="C222">
        <v>1383266</v>
      </c>
      <c r="D222">
        <v>9</v>
      </c>
      <c r="E222" t="s">
        <v>25</v>
      </c>
      <c r="F222">
        <v>3</v>
      </c>
      <c r="G222" t="s">
        <v>54</v>
      </c>
      <c r="H222" t="s">
        <v>28</v>
      </c>
      <c r="I222" t="s">
        <v>22</v>
      </c>
      <c r="J222" t="str">
        <f t="shared" si="12"/>
        <v>40-49</v>
      </c>
      <c r="K222" t="str">
        <f t="shared" si="13"/>
        <v>10-15 LPA</v>
      </c>
      <c r="L222" t="str">
        <f t="shared" si="14"/>
        <v>6-10 Years</v>
      </c>
      <c r="M222">
        <f t="shared" si="15"/>
        <v>0</v>
      </c>
    </row>
    <row r="223" spans="1:13" x14ac:dyDescent="0.25">
      <c r="A223" t="s">
        <v>489</v>
      </c>
      <c r="B223">
        <v>29</v>
      </c>
      <c r="C223">
        <v>489234</v>
      </c>
      <c r="D223">
        <v>2</v>
      </c>
      <c r="E223" t="s">
        <v>25</v>
      </c>
      <c r="F223">
        <v>1</v>
      </c>
      <c r="G223" t="s">
        <v>40</v>
      </c>
      <c r="H223" t="s">
        <v>15</v>
      </c>
      <c r="I223" t="s">
        <v>22</v>
      </c>
      <c r="J223" t="str">
        <f t="shared" si="12"/>
        <v>25-29</v>
      </c>
      <c r="K223" t="str">
        <f t="shared" si="13"/>
        <v>Below 5 LPA</v>
      </c>
      <c r="L223" t="str">
        <f t="shared" si="14"/>
        <v>0-2 Years</v>
      </c>
      <c r="M223">
        <f t="shared" si="15"/>
        <v>0</v>
      </c>
    </row>
    <row r="224" spans="1:13" x14ac:dyDescent="0.25">
      <c r="A224" t="s">
        <v>491</v>
      </c>
      <c r="B224">
        <v>21</v>
      </c>
      <c r="C224">
        <v>1267966</v>
      </c>
      <c r="D224">
        <v>0</v>
      </c>
      <c r="E224" t="s">
        <v>19</v>
      </c>
      <c r="F224">
        <v>4</v>
      </c>
      <c r="G224" t="s">
        <v>46</v>
      </c>
      <c r="H224" t="s">
        <v>31</v>
      </c>
      <c r="I224" t="s">
        <v>14</v>
      </c>
      <c r="J224" t="str">
        <f t="shared" si="12"/>
        <v>21-24</v>
      </c>
      <c r="K224" t="str">
        <f t="shared" si="13"/>
        <v>10-15 LPA</v>
      </c>
      <c r="L224" t="str">
        <f t="shared" si="14"/>
        <v>0-2 Years</v>
      </c>
      <c r="M224">
        <f t="shared" si="15"/>
        <v>1</v>
      </c>
    </row>
    <row r="225" spans="1:13" x14ac:dyDescent="0.25">
      <c r="A225" t="s">
        <v>492</v>
      </c>
      <c r="B225">
        <v>30</v>
      </c>
      <c r="C225">
        <v>586496</v>
      </c>
      <c r="D225">
        <v>1</v>
      </c>
      <c r="E225" t="s">
        <v>25</v>
      </c>
      <c r="F225">
        <v>4</v>
      </c>
      <c r="G225" t="s">
        <v>16</v>
      </c>
      <c r="H225" t="s">
        <v>28</v>
      </c>
      <c r="I225" t="s">
        <v>22</v>
      </c>
      <c r="J225" t="str">
        <f t="shared" si="12"/>
        <v>30-39</v>
      </c>
      <c r="K225" t="str">
        <f t="shared" si="13"/>
        <v>5-10 LPA</v>
      </c>
      <c r="L225" t="str">
        <f t="shared" si="14"/>
        <v>0-2 Years</v>
      </c>
      <c r="M225">
        <f t="shared" si="15"/>
        <v>0</v>
      </c>
    </row>
    <row r="226" spans="1:13" x14ac:dyDescent="0.25">
      <c r="A226" t="s">
        <v>493</v>
      </c>
      <c r="B226">
        <v>38</v>
      </c>
      <c r="C226">
        <v>1250577</v>
      </c>
      <c r="D226">
        <v>11</v>
      </c>
      <c r="E226" t="s">
        <v>25</v>
      </c>
      <c r="F226">
        <v>3</v>
      </c>
      <c r="G226" t="s">
        <v>16</v>
      </c>
      <c r="H226" t="s">
        <v>61</v>
      </c>
      <c r="I226" t="s">
        <v>14</v>
      </c>
      <c r="J226" t="str">
        <f t="shared" si="12"/>
        <v>30-39</v>
      </c>
      <c r="K226" t="str">
        <f t="shared" si="13"/>
        <v>10-15 LPA</v>
      </c>
      <c r="L226" t="str">
        <f t="shared" si="14"/>
        <v>10+ Years</v>
      </c>
      <c r="M226">
        <f t="shared" si="15"/>
        <v>0</v>
      </c>
    </row>
    <row r="227" spans="1:13" x14ac:dyDescent="0.25">
      <c r="A227" t="s">
        <v>495</v>
      </c>
      <c r="B227">
        <v>27</v>
      </c>
      <c r="C227">
        <v>571669</v>
      </c>
      <c r="D227">
        <v>2</v>
      </c>
      <c r="E227" t="s">
        <v>19</v>
      </c>
      <c r="F227">
        <v>4</v>
      </c>
      <c r="G227" t="s">
        <v>40</v>
      </c>
      <c r="H227" t="s">
        <v>15</v>
      </c>
      <c r="I227" t="s">
        <v>14</v>
      </c>
      <c r="J227" t="str">
        <f t="shared" si="12"/>
        <v>25-29</v>
      </c>
      <c r="K227" t="str">
        <f t="shared" si="13"/>
        <v>5-10 LPA</v>
      </c>
      <c r="L227" t="str">
        <f t="shared" si="14"/>
        <v>0-2 Years</v>
      </c>
      <c r="M227">
        <f t="shared" si="15"/>
        <v>1</v>
      </c>
    </row>
    <row r="228" spans="1:13" x14ac:dyDescent="0.25">
      <c r="A228" t="s">
        <v>497</v>
      </c>
      <c r="B228">
        <v>29</v>
      </c>
      <c r="C228">
        <v>987652</v>
      </c>
      <c r="D228">
        <v>8</v>
      </c>
      <c r="E228" t="s">
        <v>25</v>
      </c>
      <c r="F228">
        <v>2</v>
      </c>
      <c r="G228" t="s">
        <v>54</v>
      </c>
      <c r="H228" t="s">
        <v>61</v>
      </c>
      <c r="I228" t="s">
        <v>14</v>
      </c>
      <c r="J228" t="str">
        <f t="shared" si="12"/>
        <v>25-29</v>
      </c>
      <c r="K228" t="str">
        <f t="shared" si="13"/>
        <v>5-10 LPA</v>
      </c>
      <c r="L228" t="str">
        <f t="shared" si="14"/>
        <v>6-10 Years</v>
      </c>
      <c r="M228">
        <f t="shared" si="15"/>
        <v>0</v>
      </c>
    </row>
    <row r="229" spans="1:13" x14ac:dyDescent="0.25">
      <c r="A229" t="s">
        <v>499</v>
      </c>
      <c r="B229">
        <v>31</v>
      </c>
      <c r="C229">
        <v>529564</v>
      </c>
      <c r="D229">
        <v>0</v>
      </c>
      <c r="E229" t="s">
        <v>25</v>
      </c>
      <c r="F229">
        <v>1</v>
      </c>
      <c r="G229" t="s">
        <v>40</v>
      </c>
      <c r="H229" t="s">
        <v>39</v>
      </c>
      <c r="I229" t="s">
        <v>14</v>
      </c>
      <c r="J229" t="str">
        <f t="shared" si="12"/>
        <v>30-39</v>
      </c>
      <c r="K229" t="str">
        <f t="shared" si="13"/>
        <v>5-10 LPA</v>
      </c>
      <c r="L229" t="str">
        <f t="shared" si="14"/>
        <v>0-2 Years</v>
      </c>
      <c r="M229">
        <f t="shared" si="15"/>
        <v>0</v>
      </c>
    </row>
    <row r="230" spans="1:13" x14ac:dyDescent="0.25">
      <c r="A230" t="s">
        <v>501</v>
      </c>
      <c r="B230">
        <v>36</v>
      </c>
      <c r="C230">
        <v>1089614</v>
      </c>
      <c r="D230">
        <v>8</v>
      </c>
      <c r="E230" t="s">
        <v>25</v>
      </c>
      <c r="F230">
        <v>5</v>
      </c>
      <c r="G230" t="s">
        <v>66</v>
      </c>
      <c r="H230" t="s">
        <v>31</v>
      </c>
      <c r="I230" t="s">
        <v>22</v>
      </c>
      <c r="J230" t="str">
        <f t="shared" si="12"/>
        <v>30-39</v>
      </c>
      <c r="K230" t="str">
        <f t="shared" si="13"/>
        <v>10-15 LPA</v>
      </c>
      <c r="L230" t="str">
        <f t="shared" si="14"/>
        <v>6-10 Years</v>
      </c>
      <c r="M230">
        <f t="shared" si="15"/>
        <v>0</v>
      </c>
    </row>
    <row r="231" spans="1:13" x14ac:dyDescent="0.25">
      <c r="A231" t="s">
        <v>502</v>
      </c>
      <c r="B231">
        <v>25</v>
      </c>
      <c r="C231">
        <v>862907</v>
      </c>
      <c r="D231">
        <v>3</v>
      </c>
      <c r="E231" t="s">
        <v>25</v>
      </c>
      <c r="F231">
        <v>3</v>
      </c>
      <c r="G231" t="s">
        <v>32</v>
      </c>
      <c r="H231" t="s">
        <v>50</v>
      </c>
      <c r="I231" t="s">
        <v>22</v>
      </c>
      <c r="J231" t="str">
        <f t="shared" si="12"/>
        <v>25-29</v>
      </c>
      <c r="K231" t="str">
        <f t="shared" si="13"/>
        <v>5-10 LPA</v>
      </c>
      <c r="L231" t="str">
        <f t="shared" si="14"/>
        <v>3-5 Years</v>
      </c>
      <c r="M231">
        <f t="shared" si="15"/>
        <v>0</v>
      </c>
    </row>
    <row r="232" spans="1:13" x14ac:dyDescent="0.25">
      <c r="A232" t="s">
        <v>504</v>
      </c>
      <c r="B232">
        <v>29</v>
      </c>
      <c r="C232">
        <v>631575</v>
      </c>
      <c r="D232">
        <v>2</v>
      </c>
      <c r="E232" t="s">
        <v>25</v>
      </c>
      <c r="F232">
        <v>2</v>
      </c>
      <c r="G232" t="s">
        <v>40</v>
      </c>
      <c r="H232" t="s">
        <v>85</v>
      </c>
      <c r="I232" t="s">
        <v>14</v>
      </c>
      <c r="J232" t="str">
        <f t="shared" si="12"/>
        <v>25-29</v>
      </c>
      <c r="K232" t="str">
        <f t="shared" si="13"/>
        <v>5-10 LPA</v>
      </c>
      <c r="L232" t="str">
        <f t="shared" si="14"/>
        <v>0-2 Years</v>
      </c>
      <c r="M232">
        <f t="shared" si="15"/>
        <v>0</v>
      </c>
    </row>
    <row r="233" spans="1:13" x14ac:dyDescent="0.25">
      <c r="A233" t="s">
        <v>506</v>
      </c>
      <c r="B233">
        <v>50</v>
      </c>
      <c r="C233">
        <v>1799467</v>
      </c>
      <c r="D233">
        <v>16</v>
      </c>
      <c r="E233" t="s">
        <v>25</v>
      </c>
      <c r="F233">
        <v>3</v>
      </c>
      <c r="G233" t="s">
        <v>32</v>
      </c>
      <c r="H233" t="s">
        <v>15</v>
      </c>
      <c r="I233" t="s">
        <v>22</v>
      </c>
      <c r="J233" t="str">
        <f t="shared" si="12"/>
        <v>50+</v>
      </c>
      <c r="K233" t="str">
        <f t="shared" si="13"/>
        <v>15+ LPA</v>
      </c>
      <c r="L233" t="str">
        <f t="shared" si="14"/>
        <v>10+ Years</v>
      </c>
      <c r="M233">
        <f t="shared" si="15"/>
        <v>0</v>
      </c>
    </row>
    <row r="234" spans="1:13" x14ac:dyDescent="0.25">
      <c r="A234" t="s">
        <v>507</v>
      </c>
      <c r="B234">
        <v>28</v>
      </c>
      <c r="C234">
        <v>1229031</v>
      </c>
      <c r="D234">
        <v>7</v>
      </c>
      <c r="E234" t="s">
        <v>25</v>
      </c>
      <c r="F234">
        <v>3</v>
      </c>
      <c r="G234" t="s">
        <v>136</v>
      </c>
      <c r="H234" t="s">
        <v>50</v>
      </c>
      <c r="I234" t="s">
        <v>14</v>
      </c>
      <c r="J234" t="str">
        <f t="shared" si="12"/>
        <v>25-29</v>
      </c>
      <c r="K234" t="str">
        <f t="shared" si="13"/>
        <v>10-15 LPA</v>
      </c>
      <c r="L234" t="str">
        <f t="shared" si="14"/>
        <v>6-10 Years</v>
      </c>
      <c r="M234">
        <f t="shared" si="15"/>
        <v>0</v>
      </c>
    </row>
    <row r="235" spans="1:13" x14ac:dyDescent="0.25">
      <c r="A235" t="s">
        <v>508</v>
      </c>
      <c r="B235">
        <v>32</v>
      </c>
      <c r="C235">
        <v>908072</v>
      </c>
      <c r="D235">
        <v>4</v>
      </c>
      <c r="E235" t="s">
        <v>25</v>
      </c>
      <c r="F235">
        <v>4</v>
      </c>
      <c r="G235" t="s">
        <v>16</v>
      </c>
      <c r="H235" t="s">
        <v>50</v>
      </c>
      <c r="I235" t="s">
        <v>14</v>
      </c>
      <c r="J235" t="str">
        <f t="shared" si="12"/>
        <v>30-39</v>
      </c>
      <c r="K235" t="str">
        <f t="shared" si="13"/>
        <v>5-10 LPA</v>
      </c>
      <c r="L235" t="str">
        <f t="shared" si="14"/>
        <v>3-5 Years</v>
      </c>
      <c r="M235">
        <f t="shared" si="15"/>
        <v>0</v>
      </c>
    </row>
    <row r="236" spans="1:13" x14ac:dyDescent="0.25">
      <c r="A236" t="s">
        <v>510</v>
      </c>
      <c r="B236">
        <v>29</v>
      </c>
      <c r="C236">
        <v>869506</v>
      </c>
      <c r="D236">
        <v>5</v>
      </c>
      <c r="E236" t="s">
        <v>25</v>
      </c>
      <c r="F236">
        <v>4</v>
      </c>
      <c r="G236" t="s">
        <v>136</v>
      </c>
      <c r="H236" t="s">
        <v>45</v>
      </c>
      <c r="I236" t="s">
        <v>14</v>
      </c>
      <c r="J236" t="str">
        <f t="shared" si="12"/>
        <v>25-29</v>
      </c>
      <c r="K236" t="str">
        <f t="shared" si="13"/>
        <v>5-10 LPA</v>
      </c>
      <c r="L236" t="str">
        <f t="shared" si="14"/>
        <v>3-5 Years</v>
      </c>
      <c r="M236">
        <f t="shared" si="15"/>
        <v>0</v>
      </c>
    </row>
    <row r="237" spans="1:13" x14ac:dyDescent="0.25">
      <c r="A237" t="s">
        <v>512</v>
      </c>
      <c r="B237">
        <v>26</v>
      </c>
      <c r="C237">
        <v>592338</v>
      </c>
      <c r="D237">
        <v>3</v>
      </c>
      <c r="E237" t="s">
        <v>25</v>
      </c>
      <c r="F237">
        <v>4</v>
      </c>
      <c r="G237" t="s">
        <v>74</v>
      </c>
      <c r="H237" t="s">
        <v>15</v>
      </c>
      <c r="I237" t="s">
        <v>14</v>
      </c>
      <c r="J237" t="str">
        <f t="shared" si="12"/>
        <v>25-29</v>
      </c>
      <c r="K237" t="str">
        <f t="shared" si="13"/>
        <v>5-10 LPA</v>
      </c>
      <c r="L237" t="str">
        <f t="shared" si="14"/>
        <v>3-5 Years</v>
      </c>
      <c r="M237">
        <f t="shared" si="15"/>
        <v>0</v>
      </c>
    </row>
    <row r="238" spans="1:13" x14ac:dyDescent="0.25">
      <c r="A238" t="s">
        <v>514</v>
      </c>
      <c r="B238">
        <v>21</v>
      </c>
      <c r="C238">
        <v>1051933</v>
      </c>
      <c r="D238">
        <v>0</v>
      </c>
      <c r="E238" t="s">
        <v>25</v>
      </c>
      <c r="F238">
        <v>3</v>
      </c>
      <c r="G238" t="s">
        <v>54</v>
      </c>
      <c r="H238" t="s">
        <v>61</v>
      </c>
      <c r="I238" t="s">
        <v>14</v>
      </c>
      <c r="J238" t="str">
        <f t="shared" si="12"/>
        <v>21-24</v>
      </c>
      <c r="K238" t="str">
        <f t="shared" si="13"/>
        <v>10-15 LPA</v>
      </c>
      <c r="L238" t="str">
        <f t="shared" si="14"/>
        <v>0-2 Years</v>
      </c>
      <c r="M238">
        <f t="shared" si="15"/>
        <v>0</v>
      </c>
    </row>
    <row r="239" spans="1:13" x14ac:dyDescent="0.25">
      <c r="A239" t="s">
        <v>516</v>
      </c>
      <c r="B239">
        <v>35</v>
      </c>
      <c r="C239">
        <v>878827</v>
      </c>
      <c r="D239">
        <v>9</v>
      </c>
      <c r="E239" t="s">
        <v>25</v>
      </c>
      <c r="F239">
        <v>4</v>
      </c>
      <c r="G239" t="s">
        <v>54</v>
      </c>
      <c r="H239" t="s">
        <v>31</v>
      </c>
      <c r="I239" t="s">
        <v>14</v>
      </c>
      <c r="J239" t="str">
        <f t="shared" si="12"/>
        <v>30-39</v>
      </c>
      <c r="K239" t="str">
        <f t="shared" si="13"/>
        <v>5-10 LPA</v>
      </c>
      <c r="L239" t="str">
        <f t="shared" si="14"/>
        <v>6-10 Years</v>
      </c>
      <c r="M239">
        <f t="shared" si="15"/>
        <v>0</v>
      </c>
    </row>
    <row r="240" spans="1:13" x14ac:dyDescent="0.25">
      <c r="A240" t="s">
        <v>518</v>
      </c>
      <c r="B240">
        <v>28</v>
      </c>
      <c r="C240">
        <v>819042</v>
      </c>
      <c r="D240">
        <v>2</v>
      </c>
      <c r="E240" t="s">
        <v>19</v>
      </c>
      <c r="F240">
        <v>3</v>
      </c>
      <c r="G240" t="s">
        <v>74</v>
      </c>
      <c r="H240" t="s">
        <v>50</v>
      </c>
      <c r="I240" t="s">
        <v>14</v>
      </c>
      <c r="J240" t="str">
        <f t="shared" si="12"/>
        <v>25-29</v>
      </c>
      <c r="K240" t="str">
        <f t="shared" si="13"/>
        <v>5-10 LPA</v>
      </c>
      <c r="L240" t="str">
        <f t="shared" si="14"/>
        <v>0-2 Years</v>
      </c>
      <c r="M240">
        <f t="shared" si="15"/>
        <v>1</v>
      </c>
    </row>
    <row r="241" spans="1:13" x14ac:dyDescent="0.25">
      <c r="A241" t="s">
        <v>520</v>
      </c>
      <c r="B241">
        <v>23</v>
      </c>
      <c r="C241">
        <v>1122099</v>
      </c>
      <c r="D241">
        <v>1</v>
      </c>
      <c r="E241" t="s">
        <v>25</v>
      </c>
      <c r="F241">
        <v>5</v>
      </c>
      <c r="G241" t="s">
        <v>46</v>
      </c>
      <c r="H241" t="s">
        <v>45</v>
      </c>
      <c r="I241" t="s">
        <v>22</v>
      </c>
      <c r="J241" t="str">
        <f t="shared" si="12"/>
        <v>21-24</v>
      </c>
      <c r="K241" t="str">
        <f t="shared" si="13"/>
        <v>10-15 LPA</v>
      </c>
      <c r="L241" t="str">
        <f t="shared" si="14"/>
        <v>0-2 Years</v>
      </c>
      <c r="M241">
        <f t="shared" si="15"/>
        <v>0</v>
      </c>
    </row>
    <row r="242" spans="1:13" x14ac:dyDescent="0.25">
      <c r="A242" t="s">
        <v>522</v>
      </c>
      <c r="B242">
        <v>23</v>
      </c>
      <c r="C242">
        <v>761363</v>
      </c>
      <c r="D242">
        <v>0</v>
      </c>
      <c r="E242" t="s">
        <v>19</v>
      </c>
      <c r="F242">
        <v>4</v>
      </c>
      <c r="G242" t="s">
        <v>66</v>
      </c>
      <c r="H242" t="s">
        <v>61</v>
      </c>
      <c r="I242" t="s">
        <v>22</v>
      </c>
      <c r="J242" t="str">
        <f t="shared" si="12"/>
        <v>21-24</v>
      </c>
      <c r="K242" t="str">
        <f t="shared" si="13"/>
        <v>5-10 LPA</v>
      </c>
      <c r="L242" t="str">
        <f t="shared" si="14"/>
        <v>0-2 Years</v>
      </c>
      <c r="M242">
        <f t="shared" si="15"/>
        <v>1</v>
      </c>
    </row>
    <row r="243" spans="1:13" x14ac:dyDescent="0.25">
      <c r="A243" t="s">
        <v>524</v>
      </c>
      <c r="B243">
        <v>33</v>
      </c>
      <c r="C243">
        <v>1035413</v>
      </c>
      <c r="D243">
        <v>7</v>
      </c>
      <c r="E243" t="s">
        <v>25</v>
      </c>
      <c r="F243">
        <v>3</v>
      </c>
      <c r="G243" t="s">
        <v>74</v>
      </c>
      <c r="H243" t="s">
        <v>85</v>
      </c>
      <c r="I243" t="s">
        <v>22</v>
      </c>
      <c r="J243" t="str">
        <f t="shared" si="12"/>
        <v>30-39</v>
      </c>
      <c r="K243" t="str">
        <f t="shared" si="13"/>
        <v>10-15 LPA</v>
      </c>
      <c r="L243" t="str">
        <f t="shared" si="14"/>
        <v>6-10 Years</v>
      </c>
      <c r="M243">
        <f t="shared" si="15"/>
        <v>0</v>
      </c>
    </row>
    <row r="244" spans="1:13" x14ac:dyDescent="0.25">
      <c r="A244" t="s">
        <v>526</v>
      </c>
      <c r="B244">
        <v>30</v>
      </c>
      <c r="C244">
        <v>1293147</v>
      </c>
      <c r="D244">
        <v>8</v>
      </c>
      <c r="E244" t="s">
        <v>25</v>
      </c>
      <c r="F244">
        <v>2</v>
      </c>
      <c r="G244" t="s">
        <v>136</v>
      </c>
      <c r="H244" t="s">
        <v>31</v>
      </c>
      <c r="I244" t="s">
        <v>14</v>
      </c>
      <c r="J244" t="str">
        <f t="shared" si="12"/>
        <v>30-39</v>
      </c>
      <c r="K244" t="str">
        <f t="shared" si="13"/>
        <v>10-15 LPA</v>
      </c>
      <c r="L244" t="str">
        <f t="shared" si="14"/>
        <v>6-10 Years</v>
      </c>
      <c r="M244">
        <f t="shared" si="15"/>
        <v>0</v>
      </c>
    </row>
    <row r="245" spans="1:13" x14ac:dyDescent="0.25">
      <c r="A245" t="s">
        <v>528</v>
      </c>
      <c r="B245">
        <v>38</v>
      </c>
      <c r="C245">
        <v>1366985</v>
      </c>
      <c r="D245">
        <v>8</v>
      </c>
      <c r="E245" t="s">
        <v>25</v>
      </c>
      <c r="F245">
        <v>3</v>
      </c>
      <c r="G245" t="s">
        <v>16</v>
      </c>
      <c r="H245" t="s">
        <v>23</v>
      </c>
      <c r="I245" t="s">
        <v>22</v>
      </c>
      <c r="J245" t="str">
        <f t="shared" si="12"/>
        <v>30-39</v>
      </c>
      <c r="K245" t="str">
        <f t="shared" si="13"/>
        <v>10-15 LPA</v>
      </c>
      <c r="L245" t="str">
        <f t="shared" si="14"/>
        <v>6-10 Years</v>
      </c>
      <c r="M245">
        <f t="shared" si="15"/>
        <v>0</v>
      </c>
    </row>
    <row r="246" spans="1:13" x14ac:dyDescent="0.25">
      <c r="A246" t="s">
        <v>530</v>
      </c>
      <c r="B246">
        <v>21</v>
      </c>
      <c r="C246">
        <v>680415</v>
      </c>
      <c r="D246">
        <v>0</v>
      </c>
      <c r="E246" t="s">
        <v>25</v>
      </c>
      <c r="F246">
        <v>2</v>
      </c>
      <c r="G246" t="s">
        <v>74</v>
      </c>
      <c r="H246" t="s">
        <v>85</v>
      </c>
      <c r="I246" t="s">
        <v>22</v>
      </c>
      <c r="J246" t="str">
        <f t="shared" si="12"/>
        <v>21-24</v>
      </c>
      <c r="K246" t="str">
        <f t="shared" si="13"/>
        <v>5-10 LPA</v>
      </c>
      <c r="L246" t="str">
        <f t="shared" si="14"/>
        <v>0-2 Years</v>
      </c>
      <c r="M246">
        <f t="shared" si="15"/>
        <v>0</v>
      </c>
    </row>
    <row r="247" spans="1:13" x14ac:dyDescent="0.25">
      <c r="A247" t="s">
        <v>531</v>
      </c>
      <c r="B247">
        <v>32</v>
      </c>
      <c r="C247">
        <v>1098104</v>
      </c>
      <c r="D247">
        <v>4</v>
      </c>
      <c r="E247" t="s">
        <v>25</v>
      </c>
      <c r="F247">
        <v>3</v>
      </c>
      <c r="G247" t="s">
        <v>16</v>
      </c>
      <c r="H247" t="s">
        <v>61</v>
      </c>
      <c r="I247" t="s">
        <v>14</v>
      </c>
      <c r="J247" t="str">
        <f t="shared" si="12"/>
        <v>30-39</v>
      </c>
      <c r="K247" t="str">
        <f t="shared" si="13"/>
        <v>10-15 LPA</v>
      </c>
      <c r="L247" t="str">
        <f t="shared" si="14"/>
        <v>3-5 Years</v>
      </c>
      <c r="M247">
        <f t="shared" si="15"/>
        <v>0</v>
      </c>
    </row>
    <row r="248" spans="1:13" x14ac:dyDescent="0.25">
      <c r="A248" t="s">
        <v>533</v>
      </c>
      <c r="B248">
        <v>41</v>
      </c>
      <c r="C248">
        <v>1835081</v>
      </c>
      <c r="D248">
        <v>14</v>
      </c>
      <c r="E248" t="s">
        <v>25</v>
      </c>
      <c r="F248">
        <v>4</v>
      </c>
      <c r="G248" t="s">
        <v>32</v>
      </c>
      <c r="H248" t="s">
        <v>45</v>
      </c>
      <c r="I248" t="s">
        <v>14</v>
      </c>
      <c r="J248" t="str">
        <f t="shared" si="12"/>
        <v>40-49</v>
      </c>
      <c r="K248" t="str">
        <f t="shared" si="13"/>
        <v>15+ LPA</v>
      </c>
      <c r="L248" t="str">
        <f t="shared" si="14"/>
        <v>10+ Years</v>
      </c>
      <c r="M248">
        <f t="shared" si="15"/>
        <v>0</v>
      </c>
    </row>
    <row r="249" spans="1:13" x14ac:dyDescent="0.25">
      <c r="A249" t="s">
        <v>534</v>
      </c>
      <c r="B249">
        <v>22</v>
      </c>
      <c r="C249">
        <v>594872</v>
      </c>
      <c r="D249">
        <v>1</v>
      </c>
      <c r="E249" t="s">
        <v>25</v>
      </c>
      <c r="F249">
        <v>3</v>
      </c>
      <c r="G249" t="s">
        <v>40</v>
      </c>
      <c r="H249" t="s">
        <v>31</v>
      </c>
      <c r="I249" t="s">
        <v>22</v>
      </c>
      <c r="J249" t="str">
        <f t="shared" si="12"/>
        <v>21-24</v>
      </c>
      <c r="K249" t="str">
        <f t="shared" si="13"/>
        <v>5-10 LPA</v>
      </c>
      <c r="L249" t="str">
        <f t="shared" si="14"/>
        <v>0-2 Years</v>
      </c>
      <c r="M249">
        <f t="shared" si="15"/>
        <v>0</v>
      </c>
    </row>
    <row r="250" spans="1:13" x14ac:dyDescent="0.25">
      <c r="A250" t="s">
        <v>536</v>
      </c>
      <c r="B250">
        <v>21</v>
      </c>
      <c r="C250">
        <v>769764</v>
      </c>
      <c r="D250">
        <v>0</v>
      </c>
      <c r="E250" t="s">
        <v>19</v>
      </c>
      <c r="F250">
        <v>2</v>
      </c>
      <c r="G250" t="s">
        <v>74</v>
      </c>
      <c r="H250" t="s">
        <v>61</v>
      </c>
      <c r="I250" t="s">
        <v>14</v>
      </c>
      <c r="J250" t="str">
        <f t="shared" si="12"/>
        <v>21-24</v>
      </c>
      <c r="K250" t="str">
        <f t="shared" si="13"/>
        <v>5-10 LPA</v>
      </c>
      <c r="L250" t="str">
        <f t="shared" si="14"/>
        <v>0-2 Years</v>
      </c>
      <c r="M250">
        <f t="shared" si="15"/>
        <v>1</v>
      </c>
    </row>
    <row r="251" spans="1:13" x14ac:dyDescent="0.25">
      <c r="A251" t="s">
        <v>538</v>
      </c>
      <c r="B251">
        <v>31</v>
      </c>
      <c r="C251">
        <v>737144</v>
      </c>
      <c r="D251">
        <v>6</v>
      </c>
      <c r="E251" t="s">
        <v>25</v>
      </c>
      <c r="F251">
        <v>3</v>
      </c>
      <c r="G251" t="s">
        <v>40</v>
      </c>
      <c r="H251" t="s">
        <v>15</v>
      </c>
      <c r="I251" t="s">
        <v>14</v>
      </c>
      <c r="J251" t="str">
        <f t="shared" si="12"/>
        <v>30-39</v>
      </c>
      <c r="K251" t="str">
        <f t="shared" si="13"/>
        <v>5-10 LPA</v>
      </c>
      <c r="L251" t="str">
        <f t="shared" si="14"/>
        <v>6-10 Years</v>
      </c>
      <c r="M251">
        <f t="shared" si="15"/>
        <v>0</v>
      </c>
    </row>
    <row r="252" spans="1:13" x14ac:dyDescent="0.25">
      <c r="A252" t="s">
        <v>540</v>
      </c>
      <c r="B252">
        <v>38</v>
      </c>
      <c r="C252">
        <v>795556</v>
      </c>
      <c r="D252">
        <v>7</v>
      </c>
      <c r="E252" t="s">
        <v>19</v>
      </c>
      <c r="F252">
        <v>3</v>
      </c>
      <c r="G252" t="s">
        <v>40</v>
      </c>
      <c r="H252" t="s">
        <v>23</v>
      </c>
      <c r="I252" t="s">
        <v>22</v>
      </c>
      <c r="J252" t="str">
        <f t="shared" si="12"/>
        <v>30-39</v>
      </c>
      <c r="K252" t="str">
        <f t="shared" si="13"/>
        <v>5-10 LPA</v>
      </c>
      <c r="L252" t="str">
        <f t="shared" si="14"/>
        <v>6-10 Years</v>
      </c>
      <c r="M252">
        <f t="shared" si="15"/>
        <v>1</v>
      </c>
    </row>
    <row r="253" spans="1:13" x14ac:dyDescent="0.25">
      <c r="A253" t="s">
        <v>542</v>
      </c>
      <c r="B253">
        <v>27</v>
      </c>
      <c r="C253">
        <v>677713</v>
      </c>
      <c r="D253">
        <v>3</v>
      </c>
      <c r="E253" t="s">
        <v>25</v>
      </c>
      <c r="F253">
        <v>3</v>
      </c>
      <c r="G253" t="s">
        <v>40</v>
      </c>
      <c r="H253" t="s">
        <v>15</v>
      </c>
      <c r="I253" t="s">
        <v>14</v>
      </c>
      <c r="J253" t="str">
        <f t="shared" si="12"/>
        <v>25-29</v>
      </c>
      <c r="K253" t="str">
        <f t="shared" si="13"/>
        <v>5-10 LPA</v>
      </c>
      <c r="L253" t="str">
        <f t="shared" si="14"/>
        <v>3-5 Years</v>
      </c>
      <c r="M253">
        <f t="shared" si="15"/>
        <v>0</v>
      </c>
    </row>
    <row r="254" spans="1:13" x14ac:dyDescent="0.25">
      <c r="A254" t="s">
        <v>543</v>
      </c>
      <c r="B254">
        <v>34</v>
      </c>
      <c r="C254">
        <v>1471087</v>
      </c>
      <c r="D254">
        <v>9</v>
      </c>
      <c r="E254" t="s">
        <v>25</v>
      </c>
      <c r="F254">
        <v>1</v>
      </c>
      <c r="G254" t="s">
        <v>32</v>
      </c>
      <c r="H254" t="s">
        <v>28</v>
      </c>
      <c r="I254" t="s">
        <v>22</v>
      </c>
      <c r="J254" t="str">
        <f t="shared" si="12"/>
        <v>30-39</v>
      </c>
      <c r="K254" t="str">
        <f t="shared" si="13"/>
        <v>10-15 LPA</v>
      </c>
      <c r="L254" t="str">
        <f t="shared" si="14"/>
        <v>6-10 Years</v>
      </c>
      <c r="M254">
        <f t="shared" si="15"/>
        <v>0</v>
      </c>
    </row>
    <row r="255" spans="1:13" x14ac:dyDescent="0.25">
      <c r="A255" t="s">
        <v>545</v>
      </c>
      <c r="B255">
        <v>27</v>
      </c>
      <c r="C255">
        <v>989569</v>
      </c>
      <c r="D255">
        <v>3</v>
      </c>
      <c r="E255" t="s">
        <v>19</v>
      </c>
      <c r="F255">
        <v>3</v>
      </c>
      <c r="G255" t="s">
        <v>66</v>
      </c>
      <c r="H255" t="s">
        <v>45</v>
      </c>
      <c r="I255" t="s">
        <v>22</v>
      </c>
      <c r="J255" t="str">
        <f t="shared" si="12"/>
        <v>25-29</v>
      </c>
      <c r="K255" t="str">
        <f t="shared" si="13"/>
        <v>5-10 LPA</v>
      </c>
      <c r="L255" t="str">
        <f t="shared" si="14"/>
        <v>3-5 Years</v>
      </c>
      <c r="M255">
        <f t="shared" si="15"/>
        <v>1</v>
      </c>
    </row>
    <row r="256" spans="1:13" x14ac:dyDescent="0.25">
      <c r="A256" t="s">
        <v>546</v>
      </c>
      <c r="B256">
        <v>33</v>
      </c>
      <c r="C256">
        <v>893795</v>
      </c>
      <c r="D256">
        <v>8</v>
      </c>
      <c r="E256" t="s">
        <v>25</v>
      </c>
      <c r="F256">
        <v>3</v>
      </c>
      <c r="G256" t="s">
        <v>74</v>
      </c>
      <c r="H256" t="s">
        <v>45</v>
      </c>
      <c r="I256" t="s">
        <v>14</v>
      </c>
      <c r="J256" t="str">
        <f t="shared" si="12"/>
        <v>30-39</v>
      </c>
      <c r="K256" t="str">
        <f t="shared" si="13"/>
        <v>5-10 LPA</v>
      </c>
      <c r="L256" t="str">
        <f t="shared" si="14"/>
        <v>6-10 Years</v>
      </c>
      <c r="M256">
        <f t="shared" si="15"/>
        <v>0</v>
      </c>
    </row>
    <row r="257" spans="1:13" x14ac:dyDescent="0.25">
      <c r="A257" t="s">
        <v>548</v>
      </c>
      <c r="B257">
        <v>50</v>
      </c>
      <c r="C257">
        <v>1413629</v>
      </c>
      <c r="D257">
        <v>17</v>
      </c>
      <c r="E257" t="s">
        <v>25</v>
      </c>
      <c r="F257">
        <v>3</v>
      </c>
      <c r="G257" t="s">
        <v>74</v>
      </c>
      <c r="H257" t="s">
        <v>23</v>
      </c>
      <c r="I257" t="s">
        <v>14</v>
      </c>
      <c r="J257" t="str">
        <f t="shared" si="12"/>
        <v>50+</v>
      </c>
      <c r="K257" t="str">
        <f t="shared" si="13"/>
        <v>10-15 LPA</v>
      </c>
      <c r="L257" t="str">
        <f t="shared" si="14"/>
        <v>10+ Years</v>
      </c>
      <c r="M257">
        <f t="shared" si="15"/>
        <v>0</v>
      </c>
    </row>
    <row r="258" spans="1:13" x14ac:dyDescent="0.25">
      <c r="A258" t="s">
        <v>549</v>
      </c>
      <c r="B258">
        <v>24</v>
      </c>
      <c r="C258">
        <v>1564407</v>
      </c>
      <c r="D258">
        <v>3</v>
      </c>
      <c r="E258" t="s">
        <v>25</v>
      </c>
      <c r="F258">
        <v>3</v>
      </c>
      <c r="G258" t="s">
        <v>32</v>
      </c>
      <c r="H258" t="s">
        <v>50</v>
      </c>
      <c r="I258" t="s">
        <v>22</v>
      </c>
      <c r="J258" t="str">
        <f t="shared" si="12"/>
        <v>21-24</v>
      </c>
      <c r="K258" t="str">
        <f t="shared" si="13"/>
        <v>15+ LPA</v>
      </c>
      <c r="L258" t="str">
        <f t="shared" si="14"/>
        <v>3-5 Years</v>
      </c>
      <c r="M258">
        <f t="shared" si="15"/>
        <v>0</v>
      </c>
    </row>
    <row r="259" spans="1:13" x14ac:dyDescent="0.25">
      <c r="A259" t="s">
        <v>551</v>
      </c>
      <c r="B259">
        <v>21</v>
      </c>
      <c r="C259">
        <v>1265054</v>
      </c>
      <c r="D259">
        <v>0</v>
      </c>
      <c r="E259" t="s">
        <v>25</v>
      </c>
      <c r="F259">
        <v>3</v>
      </c>
      <c r="G259" t="s">
        <v>32</v>
      </c>
      <c r="H259" t="s">
        <v>61</v>
      </c>
      <c r="I259" t="s">
        <v>22</v>
      </c>
      <c r="J259" t="str">
        <f t="shared" ref="J259:J322" si="16">IF(B259&lt;25,"21-24",
IF(B259&lt;30,"25-29",
IF(B259&lt;40,"30-39",
IF(B259&lt;50,"40-49","50+"))))</f>
        <v>21-24</v>
      </c>
      <c r="K259" t="str">
        <f t="shared" ref="K259:K322" si="17">IF(C259&lt;500000,"Below 5 LPA",
IF(C259&lt;1000000,"5-10 LPA",
IF(C259&lt;1500000,"10-15 LPA","15+ LPA")))</f>
        <v>10-15 LPA</v>
      </c>
      <c r="L259" t="str">
        <f t="shared" ref="L259:L322" si="18">IF(D259&lt;=2,"0-2 Years",
IF(D259&lt;=5,"3-5 Years",
IF(D259&lt;=10,"6-10 Years","10+ Years")))</f>
        <v>0-2 Years</v>
      </c>
      <c r="M259">
        <f t="shared" ref="M259:M322" si="19">IF(E259="Yes",1,0)</f>
        <v>0</v>
      </c>
    </row>
    <row r="260" spans="1:13" x14ac:dyDescent="0.25">
      <c r="A260" t="s">
        <v>552</v>
      </c>
      <c r="B260">
        <v>30</v>
      </c>
      <c r="C260">
        <v>782010</v>
      </c>
      <c r="D260">
        <v>0</v>
      </c>
      <c r="E260" t="s">
        <v>19</v>
      </c>
      <c r="F260">
        <v>3</v>
      </c>
      <c r="G260" t="s">
        <v>40</v>
      </c>
      <c r="H260" t="s">
        <v>28</v>
      </c>
      <c r="I260" t="s">
        <v>14</v>
      </c>
      <c r="J260" t="str">
        <f t="shared" si="16"/>
        <v>30-39</v>
      </c>
      <c r="K260" t="str">
        <f t="shared" si="17"/>
        <v>5-10 LPA</v>
      </c>
      <c r="L260" t="str">
        <f t="shared" si="18"/>
        <v>0-2 Years</v>
      </c>
      <c r="M260">
        <f t="shared" si="19"/>
        <v>1</v>
      </c>
    </row>
    <row r="261" spans="1:13" x14ac:dyDescent="0.25">
      <c r="A261" t="s">
        <v>554</v>
      </c>
      <c r="B261">
        <v>27</v>
      </c>
      <c r="C261">
        <v>642305</v>
      </c>
      <c r="D261">
        <v>2</v>
      </c>
      <c r="E261" t="s">
        <v>25</v>
      </c>
      <c r="F261">
        <v>3</v>
      </c>
      <c r="G261" t="s">
        <v>54</v>
      </c>
      <c r="H261" t="s">
        <v>31</v>
      </c>
      <c r="I261" t="s">
        <v>14</v>
      </c>
      <c r="J261" t="str">
        <f t="shared" si="16"/>
        <v>25-29</v>
      </c>
      <c r="K261" t="str">
        <f t="shared" si="17"/>
        <v>5-10 LPA</v>
      </c>
      <c r="L261" t="str">
        <f t="shared" si="18"/>
        <v>0-2 Years</v>
      </c>
      <c r="M261">
        <f t="shared" si="19"/>
        <v>0</v>
      </c>
    </row>
    <row r="262" spans="1:13" x14ac:dyDescent="0.25">
      <c r="A262" t="s">
        <v>556</v>
      </c>
      <c r="B262">
        <v>26</v>
      </c>
      <c r="C262">
        <v>1211818</v>
      </c>
      <c r="D262">
        <v>2</v>
      </c>
      <c r="E262" t="s">
        <v>25</v>
      </c>
      <c r="F262">
        <v>4</v>
      </c>
      <c r="G262" t="s">
        <v>32</v>
      </c>
      <c r="H262" t="s">
        <v>78</v>
      </c>
      <c r="I262" t="s">
        <v>22</v>
      </c>
      <c r="J262" t="str">
        <f t="shared" si="16"/>
        <v>25-29</v>
      </c>
      <c r="K262" t="str">
        <f t="shared" si="17"/>
        <v>10-15 LPA</v>
      </c>
      <c r="L262" t="str">
        <f t="shared" si="18"/>
        <v>0-2 Years</v>
      </c>
      <c r="M262">
        <f t="shared" si="19"/>
        <v>0</v>
      </c>
    </row>
    <row r="263" spans="1:13" x14ac:dyDescent="0.25">
      <c r="A263" t="s">
        <v>558</v>
      </c>
      <c r="B263">
        <v>21</v>
      </c>
      <c r="C263">
        <v>563765</v>
      </c>
      <c r="D263">
        <v>0</v>
      </c>
      <c r="E263" t="s">
        <v>25</v>
      </c>
      <c r="F263">
        <v>4</v>
      </c>
      <c r="G263" t="s">
        <v>136</v>
      </c>
      <c r="H263" t="s">
        <v>15</v>
      </c>
      <c r="I263" t="s">
        <v>22</v>
      </c>
      <c r="J263" t="str">
        <f t="shared" si="16"/>
        <v>21-24</v>
      </c>
      <c r="K263" t="str">
        <f t="shared" si="17"/>
        <v>5-10 LPA</v>
      </c>
      <c r="L263" t="str">
        <f t="shared" si="18"/>
        <v>0-2 Years</v>
      </c>
      <c r="M263">
        <f t="shared" si="19"/>
        <v>0</v>
      </c>
    </row>
    <row r="264" spans="1:13" x14ac:dyDescent="0.25">
      <c r="A264" t="s">
        <v>559</v>
      </c>
      <c r="B264">
        <v>38</v>
      </c>
      <c r="C264">
        <v>1963038</v>
      </c>
      <c r="D264">
        <v>7</v>
      </c>
      <c r="E264" t="s">
        <v>19</v>
      </c>
      <c r="F264">
        <v>3</v>
      </c>
      <c r="G264" t="s">
        <v>46</v>
      </c>
      <c r="H264" t="s">
        <v>45</v>
      </c>
      <c r="I264" t="s">
        <v>22</v>
      </c>
      <c r="J264" t="str">
        <f t="shared" si="16"/>
        <v>30-39</v>
      </c>
      <c r="K264" t="str">
        <f t="shared" si="17"/>
        <v>15+ LPA</v>
      </c>
      <c r="L264" t="str">
        <f t="shared" si="18"/>
        <v>6-10 Years</v>
      </c>
      <c r="M264">
        <f t="shared" si="19"/>
        <v>1</v>
      </c>
    </row>
    <row r="265" spans="1:13" x14ac:dyDescent="0.25">
      <c r="A265" t="s">
        <v>561</v>
      </c>
      <c r="B265">
        <v>27</v>
      </c>
      <c r="C265">
        <v>735276</v>
      </c>
      <c r="D265">
        <v>0</v>
      </c>
      <c r="E265" t="s">
        <v>19</v>
      </c>
      <c r="F265">
        <v>4</v>
      </c>
      <c r="G265" t="s">
        <v>16</v>
      </c>
      <c r="H265" t="s">
        <v>45</v>
      </c>
      <c r="I265" t="s">
        <v>14</v>
      </c>
      <c r="J265" t="str">
        <f t="shared" si="16"/>
        <v>25-29</v>
      </c>
      <c r="K265" t="str">
        <f t="shared" si="17"/>
        <v>5-10 LPA</v>
      </c>
      <c r="L265" t="str">
        <f t="shared" si="18"/>
        <v>0-2 Years</v>
      </c>
      <c r="M265">
        <f t="shared" si="19"/>
        <v>1</v>
      </c>
    </row>
    <row r="266" spans="1:13" x14ac:dyDescent="0.25">
      <c r="A266" t="s">
        <v>563</v>
      </c>
      <c r="B266">
        <v>35</v>
      </c>
      <c r="C266">
        <v>1943355</v>
      </c>
      <c r="D266">
        <v>7</v>
      </c>
      <c r="E266" t="s">
        <v>25</v>
      </c>
      <c r="F266">
        <v>1</v>
      </c>
      <c r="G266" t="s">
        <v>32</v>
      </c>
      <c r="H266" t="s">
        <v>15</v>
      </c>
      <c r="I266" t="s">
        <v>14</v>
      </c>
      <c r="J266" t="str">
        <f t="shared" si="16"/>
        <v>30-39</v>
      </c>
      <c r="K266" t="str">
        <f t="shared" si="17"/>
        <v>15+ LPA</v>
      </c>
      <c r="L266" t="str">
        <f t="shared" si="18"/>
        <v>6-10 Years</v>
      </c>
      <c r="M266">
        <f t="shared" si="19"/>
        <v>0</v>
      </c>
    </row>
    <row r="267" spans="1:13" x14ac:dyDescent="0.25">
      <c r="A267" t="s">
        <v>565</v>
      </c>
      <c r="B267">
        <v>21</v>
      </c>
      <c r="C267">
        <v>900841</v>
      </c>
      <c r="D267">
        <v>0</v>
      </c>
      <c r="E267" t="s">
        <v>19</v>
      </c>
      <c r="F267">
        <v>4</v>
      </c>
      <c r="G267" t="s">
        <v>54</v>
      </c>
      <c r="H267" t="s">
        <v>45</v>
      </c>
      <c r="I267" t="s">
        <v>22</v>
      </c>
      <c r="J267" t="str">
        <f t="shared" si="16"/>
        <v>21-24</v>
      </c>
      <c r="K267" t="str">
        <f t="shared" si="17"/>
        <v>5-10 LPA</v>
      </c>
      <c r="L267" t="str">
        <f t="shared" si="18"/>
        <v>0-2 Years</v>
      </c>
      <c r="M267">
        <f t="shared" si="19"/>
        <v>1</v>
      </c>
    </row>
    <row r="268" spans="1:13" x14ac:dyDescent="0.25">
      <c r="A268" t="s">
        <v>567</v>
      </c>
      <c r="B268">
        <v>21</v>
      </c>
      <c r="C268">
        <v>1006154</v>
      </c>
      <c r="D268">
        <v>0</v>
      </c>
      <c r="E268" t="s">
        <v>25</v>
      </c>
      <c r="F268">
        <v>4</v>
      </c>
      <c r="G268" t="s">
        <v>32</v>
      </c>
      <c r="H268" t="s">
        <v>28</v>
      </c>
      <c r="I268" t="s">
        <v>14</v>
      </c>
      <c r="J268" t="str">
        <f t="shared" si="16"/>
        <v>21-24</v>
      </c>
      <c r="K268" t="str">
        <f t="shared" si="17"/>
        <v>10-15 LPA</v>
      </c>
      <c r="L268" t="str">
        <f t="shared" si="18"/>
        <v>0-2 Years</v>
      </c>
      <c r="M268">
        <f t="shared" si="19"/>
        <v>0</v>
      </c>
    </row>
    <row r="269" spans="1:13" x14ac:dyDescent="0.25">
      <c r="A269" t="s">
        <v>569</v>
      </c>
      <c r="B269">
        <v>37</v>
      </c>
      <c r="C269">
        <v>1882277</v>
      </c>
      <c r="D269">
        <v>6</v>
      </c>
      <c r="E269" t="s">
        <v>25</v>
      </c>
      <c r="F269">
        <v>3</v>
      </c>
      <c r="G269" t="s">
        <v>32</v>
      </c>
      <c r="H269" t="s">
        <v>50</v>
      </c>
      <c r="I269" t="s">
        <v>22</v>
      </c>
      <c r="J269" t="str">
        <f t="shared" si="16"/>
        <v>30-39</v>
      </c>
      <c r="K269" t="str">
        <f t="shared" si="17"/>
        <v>15+ LPA</v>
      </c>
      <c r="L269" t="str">
        <f t="shared" si="18"/>
        <v>6-10 Years</v>
      </c>
      <c r="M269">
        <f t="shared" si="19"/>
        <v>0</v>
      </c>
    </row>
    <row r="270" spans="1:13" x14ac:dyDescent="0.25">
      <c r="A270" t="s">
        <v>571</v>
      </c>
      <c r="B270">
        <v>35</v>
      </c>
      <c r="C270">
        <v>716262</v>
      </c>
      <c r="D270">
        <v>9</v>
      </c>
      <c r="E270" t="s">
        <v>25</v>
      </c>
      <c r="F270">
        <v>3</v>
      </c>
      <c r="G270" t="s">
        <v>74</v>
      </c>
      <c r="H270" t="s">
        <v>50</v>
      </c>
      <c r="I270" t="s">
        <v>14</v>
      </c>
      <c r="J270" t="str">
        <f t="shared" si="16"/>
        <v>30-39</v>
      </c>
      <c r="K270" t="str">
        <f t="shared" si="17"/>
        <v>5-10 LPA</v>
      </c>
      <c r="L270" t="str">
        <f t="shared" si="18"/>
        <v>6-10 Years</v>
      </c>
      <c r="M270">
        <f t="shared" si="19"/>
        <v>0</v>
      </c>
    </row>
    <row r="271" spans="1:13" x14ac:dyDescent="0.25">
      <c r="A271" t="s">
        <v>573</v>
      </c>
      <c r="B271">
        <v>27</v>
      </c>
      <c r="C271">
        <v>1071403</v>
      </c>
      <c r="D271">
        <v>6</v>
      </c>
      <c r="E271" t="s">
        <v>19</v>
      </c>
      <c r="F271">
        <v>3</v>
      </c>
      <c r="G271" t="s">
        <v>136</v>
      </c>
      <c r="H271" t="s">
        <v>23</v>
      </c>
      <c r="I271" t="s">
        <v>22</v>
      </c>
      <c r="J271" t="str">
        <f t="shared" si="16"/>
        <v>25-29</v>
      </c>
      <c r="K271" t="str">
        <f t="shared" si="17"/>
        <v>10-15 LPA</v>
      </c>
      <c r="L271" t="str">
        <f t="shared" si="18"/>
        <v>6-10 Years</v>
      </c>
      <c r="M271">
        <f t="shared" si="19"/>
        <v>1</v>
      </c>
    </row>
    <row r="272" spans="1:13" x14ac:dyDescent="0.25">
      <c r="A272" t="s">
        <v>575</v>
      </c>
      <c r="B272">
        <v>25</v>
      </c>
      <c r="C272">
        <v>472859</v>
      </c>
      <c r="D272">
        <v>0</v>
      </c>
      <c r="E272" t="s">
        <v>19</v>
      </c>
      <c r="F272">
        <v>2</v>
      </c>
      <c r="G272" t="s">
        <v>66</v>
      </c>
      <c r="H272" t="s">
        <v>28</v>
      </c>
      <c r="I272" t="s">
        <v>22</v>
      </c>
      <c r="J272" t="str">
        <f t="shared" si="16"/>
        <v>25-29</v>
      </c>
      <c r="K272" t="str">
        <f t="shared" si="17"/>
        <v>Below 5 LPA</v>
      </c>
      <c r="L272" t="str">
        <f t="shared" si="18"/>
        <v>0-2 Years</v>
      </c>
      <c r="M272">
        <f t="shared" si="19"/>
        <v>1</v>
      </c>
    </row>
    <row r="273" spans="1:13" x14ac:dyDescent="0.25">
      <c r="A273" t="s">
        <v>576</v>
      </c>
      <c r="B273">
        <v>40</v>
      </c>
      <c r="C273">
        <v>1430402</v>
      </c>
      <c r="D273">
        <v>13</v>
      </c>
      <c r="E273" t="s">
        <v>25</v>
      </c>
      <c r="F273">
        <v>5</v>
      </c>
      <c r="G273" t="s">
        <v>136</v>
      </c>
      <c r="H273" t="s">
        <v>15</v>
      </c>
      <c r="I273" t="s">
        <v>14</v>
      </c>
      <c r="J273" t="str">
        <f t="shared" si="16"/>
        <v>40-49</v>
      </c>
      <c r="K273" t="str">
        <f t="shared" si="17"/>
        <v>10-15 LPA</v>
      </c>
      <c r="L273" t="str">
        <f t="shared" si="18"/>
        <v>10+ Years</v>
      </c>
      <c r="M273">
        <f t="shared" si="19"/>
        <v>0</v>
      </c>
    </row>
    <row r="274" spans="1:13" x14ac:dyDescent="0.25">
      <c r="A274" t="s">
        <v>578</v>
      </c>
      <c r="B274">
        <v>31</v>
      </c>
      <c r="C274">
        <v>800808</v>
      </c>
      <c r="D274">
        <v>2</v>
      </c>
      <c r="E274" t="s">
        <v>19</v>
      </c>
      <c r="F274">
        <v>1</v>
      </c>
      <c r="G274" t="s">
        <v>66</v>
      </c>
      <c r="H274" t="s">
        <v>50</v>
      </c>
      <c r="I274" t="s">
        <v>22</v>
      </c>
      <c r="J274" t="str">
        <f t="shared" si="16"/>
        <v>30-39</v>
      </c>
      <c r="K274" t="str">
        <f t="shared" si="17"/>
        <v>5-10 LPA</v>
      </c>
      <c r="L274" t="str">
        <f t="shared" si="18"/>
        <v>0-2 Years</v>
      </c>
      <c r="M274">
        <f t="shared" si="19"/>
        <v>1</v>
      </c>
    </row>
    <row r="275" spans="1:13" x14ac:dyDescent="0.25">
      <c r="A275" t="s">
        <v>580</v>
      </c>
      <c r="B275">
        <v>34</v>
      </c>
      <c r="C275">
        <v>863878</v>
      </c>
      <c r="D275">
        <v>6</v>
      </c>
      <c r="E275" t="s">
        <v>25</v>
      </c>
      <c r="F275">
        <v>2</v>
      </c>
      <c r="G275" t="s">
        <v>40</v>
      </c>
      <c r="H275" t="s">
        <v>31</v>
      </c>
      <c r="I275" t="s">
        <v>14</v>
      </c>
      <c r="J275" t="str">
        <f t="shared" si="16"/>
        <v>30-39</v>
      </c>
      <c r="K275" t="str">
        <f t="shared" si="17"/>
        <v>5-10 LPA</v>
      </c>
      <c r="L275" t="str">
        <f t="shared" si="18"/>
        <v>6-10 Years</v>
      </c>
      <c r="M275">
        <f t="shared" si="19"/>
        <v>0</v>
      </c>
    </row>
    <row r="276" spans="1:13" x14ac:dyDescent="0.25">
      <c r="A276" t="s">
        <v>582</v>
      </c>
      <c r="B276">
        <v>33</v>
      </c>
      <c r="C276">
        <v>741430</v>
      </c>
      <c r="D276">
        <v>9</v>
      </c>
      <c r="E276" t="s">
        <v>25</v>
      </c>
      <c r="F276">
        <v>3</v>
      </c>
      <c r="G276" t="s">
        <v>74</v>
      </c>
      <c r="H276" t="s">
        <v>61</v>
      </c>
      <c r="I276" t="s">
        <v>14</v>
      </c>
      <c r="J276" t="str">
        <f t="shared" si="16"/>
        <v>30-39</v>
      </c>
      <c r="K276" t="str">
        <f t="shared" si="17"/>
        <v>5-10 LPA</v>
      </c>
      <c r="L276" t="str">
        <f t="shared" si="18"/>
        <v>6-10 Years</v>
      </c>
      <c r="M276">
        <f t="shared" si="19"/>
        <v>0</v>
      </c>
    </row>
    <row r="277" spans="1:13" x14ac:dyDescent="0.25">
      <c r="A277" t="s">
        <v>584</v>
      </c>
      <c r="B277">
        <v>21</v>
      </c>
      <c r="C277">
        <v>1025817</v>
      </c>
      <c r="D277">
        <v>0</v>
      </c>
      <c r="E277" t="s">
        <v>25</v>
      </c>
      <c r="F277">
        <v>3</v>
      </c>
      <c r="G277" t="s">
        <v>54</v>
      </c>
      <c r="H277" t="s">
        <v>61</v>
      </c>
      <c r="I277" t="s">
        <v>14</v>
      </c>
      <c r="J277" t="str">
        <f t="shared" si="16"/>
        <v>21-24</v>
      </c>
      <c r="K277" t="str">
        <f t="shared" si="17"/>
        <v>10-15 LPA</v>
      </c>
      <c r="L277" t="str">
        <f t="shared" si="18"/>
        <v>0-2 Years</v>
      </c>
      <c r="M277">
        <f t="shared" si="19"/>
        <v>0</v>
      </c>
    </row>
    <row r="278" spans="1:13" x14ac:dyDescent="0.25">
      <c r="A278" t="s">
        <v>586</v>
      </c>
      <c r="B278">
        <v>23</v>
      </c>
      <c r="C278">
        <v>1331527</v>
      </c>
      <c r="D278">
        <v>0</v>
      </c>
      <c r="E278" t="s">
        <v>25</v>
      </c>
      <c r="F278">
        <v>2</v>
      </c>
      <c r="G278" t="s">
        <v>46</v>
      </c>
      <c r="H278" t="s">
        <v>45</v>
      </c>
      <c r="I278" t="s">
        <v>14</v>
      </c>
      <c r="J278" t="str">
        <f t="shared" si="16"/>
        <v>21-24</v>
      </c>
      <c r="K278" t="str">
        <f t="shared" si="17"/>
        <v>10-15 LPA</v>
      </c>
      <c r="L278" t="str">
        <f t="shared" si="18"/>
        <v>0-2 Years</v>
      </c>
      <c r="M278">
        <f t="shared" si="19"/>
        <v>0</v>
      </c>
    </row>
    <row r="279" spans="1:13" x14ac:dyDescent="0.25">
      <c r="A279" t="s">
        <v>587</v>
      </c>
      <c r="B279">
        <v>21</v>
      </c>
      <c r="C279">
        <v>1249259</v>
      </c>
      <c r="D279">
        <v>0</v>
      </c>
      <c r="E279" t="s">
        <v>25</v>
      </c>
      <c r="F279">
        <v>3</v>
      </c>
      <c r="G279" t="s">
        <v>46</v>
      </c>
      <c r="H279" t="s">
        <v>28</v>
      </c>
      <c r="I279" t="s">
        <v>22</v>
      </c>
      <c r="J279" t="str">
        <f t="shared" si="16"/>
        <v>21-24</v>
      </c>
      <c r="K279" t="str">
        <f t="shared" si="17"/>
        <v>10-15 LPA</v>
      </c>
      <c r="L279" t="str">
        <f t="shared" si="18"/>
        <v>0-2 Years</v>
      </c>
      <c r="M279">
        <f t="shared" si="19"/>
        <v>0</v>
      </c>
    </row>
    <row r="280" spans="1:13" x14ac:dyDescent="0.25">
      <c r="A280" t="s">
        <v>589</v>
      </c>
      <c r="B280">
        <v>28</v>
      </c>
      <c r="C280">
        <v>582793</v>
      </c>
      <c r="D280">
        <v>0</v>
      </c>
      <c r="E280" t="s">
        <v>25</v>
      </c>
      <c r="F280">
        <v>5</v>
      </c>
      <c r="G280" t="s">
        <v>66</v>
      </c>
      <c r="H280" t="s">
        <v>78</v>
      </c>
      <c r="I280" t="s">
        <v>22</v>
      </c>
      <c r="J280" t="str">
        <f t="shared" si="16"/>
        <v>25-29</v>
      </c>
      <c r="K280" t="str">
        <f t="shared" si="17"/>
        <v>5-10 LPA</v>
      </c>
      <c r="L280" t="str">
        <f t="shared" si="18"/>
        <v>0-2 Years</v>
      </c>
      <c r="M280">
        <f t="shared" si="19"/>
        <v>0</v>
      </c>
    </row>
    <row r="281" spans="1:13" x14ac:dyDescent="0.25">
      <c r="A281" t="s">
        <v>590</v>
      </c>
      <c r="B281">
        <v>33</v>
      </c>
      <c r="C281">
        <v>1553818</v>
      </c>
      <c r="D281">
        <v>9</v>
      </c>
      <c r="E281" t="s">
        <v>25</v>
      </c>
      <c r="F281">
        <v>2</v>
      </c>
      <c r="G281" t="s">
        <v>16</v>
      </c>
      <c r="H281" t="s">
        <v>78</v>
      </c>
      <c r="I281" t="s">
        <v>22</v>
      </c>
      <c r="J281" t="str">
        <f t="shared" si="16"/>
        <v>30-39</v>
      </c>
      <c r="K281" t="str">
        <f t="shared" si="17"/>
        <v>15+ LPA</v>
      </c>
      <c r="L281" t="str">
        <f t="shared" si="18"/>
        <v>6-10 Years</v>
      </c>
      <c r="M281">
        <f t="shared" si="19"/>
        <v>0</v>
      </c>
    </row>
    <row r="282" spans="1:13" x14ac:dyDescent="0.25">
      <c r="A282" t="s">
        <v>592</v>
      </c>
      <c r="B282">
        <v>31</v>
      </c>
      <c r="C282">
        <v>1312974</v>
      </c>
      <c r="D282">
        <v>1</v>
      </c>
      <c r="E282" t="s">
        <v>25</v>
      </c>
      <c r="F282">
        <v>3</v>
      </c>
      <c r="G282" t="s">
        <v>46</v>
      </c>
      <c r="H282" t="s">
        <v>28</v>
      </c>
      <c r="I282" t="s">
        <v>14</v>
      </c>
      <c r="J282" t="str">
        <f t="shared" si="16"/>
        <v>30-39</v>
      </c>
      <c r="K282" t="str">
        <f t="shared" si="17"/>
        <v>10-15 LPA</v>
      </c>
      <c r="L282" t="str">
        <f t="shared" si="18"/>
        <v>0-2 Years</v>
      </c>
      <c r="M282">
        <f t="shared" si="19"/>
        <v>0</v>
      </c>
    </row>
    <row r="283" spans="1:13" x14ac:dyDescent="0.25">
      <c r="A283" t="s">
        <v>594</v>
      </c>
      <c r="B283">
        <v>39</v>
      </c>
      <c r="C283">
        <v>2006199</v>
      </c>
      <c r="D283">
        <v>8</v>
      </c>
      <c r="E283" t="s">
        <v>25</v>
      </c>
      <c r="F283">
        <v>3</v>
      </c>
      <c r="G283" t="s">
        <v>32</v>
      </c>
      <c r="H283" t="s">
        <v>50</v>
      </c>
      <c r="I283" t="s">
        <v>14</v>
      </c>
      <c r="J283" t="str">
        <f t="shared" si="16"/>
        <v>30-39</v>
      </c>
      <c r="K283" t="str">
        <f t="shared" si="17"/>
        <v>15+ LPA</v>
      </c>
      <c r="L283" t="str">
        <f t="shared" si="18"/>
        <v>6-10 Years</v>
      </c>
      <c r="M283">
        <f t="shared" si="19"/>
        <v>0</v>
      </c>
    </row>
    <row r="284" spans="1:13" x14ac:dyDescent="0.25">
      <c r="A284" t="s">
        <v>596</v>
      </c>
      <c r="B284">
        <v>40</v>
      </c>
      <c r="C284">
        <v>1129922</v>
      </c>
      <c r="D284">
        <v>9</v>
      </c>
      <c r="E284" t="s">
        <v>19</v>
      </c>
      <c r="F284">
        <v>4</v>
      </c>
      <c r="G284" t="s">
        <v>54</v>
      </c>
      <c r="H284" t="s">
        <v>15</v>
      </c>
      <c r="I284" t="s">
        <v>22</v>
      </c>
      <c r="J284" t="str">
        <f t="shared" si="16"/>
        <v>40-49</v>
      </c>
      <c r="K284" t="str">
        <f t="shared" si="17"/>
        <v>10-15 LPA</v>
      </c>
      <c r="L284" t="str">
        <f t="shared" si="18"/>
        <v>6-10 Years</v>
      </c>
      <c r="M284">
        <f t="shared" si="19"/>
        <v>1</v>
      </c>
    </row>
    <row r="285" spans="1:13" x14ac:dyDescent="0.25">
      <c r="A285" t="s">
        <v>598</v>
      </c>
      <c r="B285">
        <v>30</v>
      </c>
      <c r="C285">
        <v>1317865</v>
      </c>
      <c r="D285">
        <v>6</v>
      </c>
      <c r="E285" t="s">
        <v>25</v>
      </c>
      <c r="F285">
        <v>1</v>
      </c>
      <c r="G285" t="s">
        <v>32</v>
      </c>
      <c r="H285" t="s">
        <v>28</v>
      </c>
      <c r="I285" t="s">
        <v>22</v>
      </c>
      <c r="J285" t="str">
        <f t="shared" si="16"/>
        <v>30-39</v>
      </c>
      <c r="K285" t="str">
        <f t="shared" si="17"/>
        <v>10-15 LPA</v>
      </c>
      <c r="L285" t="str">
        <f t="shared" si="18"/>
        <v>6-10 Years</v>
      </c>
      <c r="M285">
        <f t="shared" si="19"/>
        <v>0</v>
      </c>
    </row>
    <row r="286" spans="1:13" x14ac:dyDescent="0.25">
      <c r="A286" t="s">
        <v>600</v>
      </c>
      <c r="B286">
        <v>38</v>
      </c>
      <c r="C286">
        <v>1443085</v>
      </c>
      <c r="D286">
        <v>12</v>
      </c>
      <c r="E286" t="s">
        <v>25</v>
      </c>
      <c r="F286">
        <v>3</v>
      </c>
      <c r="G286" t="s">
        <v>16</v>
      </c>
      <c r="H286" t="s">
        <v>23</v>
      </c>
      <c r="I286" t="s">
        <v>22</v>
      </c>
      <c r="J286" t="str">
        <f t="shared" si="16"/>
        <v>30-39</v>
      </c>
      <c r="K286" t="str">
        <f t="shared" si="17"/>
        <v>10-15 LPA</v>
      </c>
      <c r="L286" t="str">
        <f t="shared" si="18"/>
        <v>10+ Years</v>
      </c>
      <c r="M286">
        <f t="shared" si="19"/>
        <v>0</v>
      </c>
    </row>
    <row r="287" spans="1:13" x14ac:dyDescent="0.25">
      <c r="A287" t="s">
        <v>602</v>
      </c>
      <c r="B287">
        <v>28</v>
      </c>
      <c r="C287">
        <v>816177</v>
      </c>
      <c r="D287">
        <v>6</v>
      </c>
      <c r="E287" t="s">
        <v>25</v>
      </c>
      <c r="F287">
        <v>4</v>
      </c>
      <c r="G287" t="s">
        <v>40</v>
      </c>
      <c r="H287" t="s">
        <v>85</v>
      </c>
      <c r="I287" t="s">
        <v>22</v>
      </c>
      <c r="J287" t="str">
        <f t="shared" si="16"/>
        <v>25-29</v>
      </c>
      <c r="K287" t="str">
        <f t="shared" si="17"/>
        <v>5-10 LPA</v>
      </c>
      <c r="L287" t="str">
        <f t="shared" si="18"/>
        <v>6-10 Years</v>
      </c>
      <c r="M287">
        <f t="shared" si="19"/>
        <v>0</v>
      </c>
    </row>
    <row r="288" spans="1:13" x14ac:dyDescent="0.25">
      <c r="A288" t="s">
        <v>604</v>
      </c>
      <c r="B288">
        <v>34</v>
      </c>
      <c r="C288">
        <v>897605</v>
      </c>
      <c r="D288">
        <v>5</v>
      </c>
      <c r="E288" t="s">
        <v>19</v>
      </c>
      <c r="F288">
        <v>3</v>
      </c>
      <c r="G288" t="s">
        <v>54</v>
      </c>
      <c r="H288" t="s">
        <v>31</v>
      </c>
      <c r="I288" t="s">
        <v>22</v>
      </c>
      <c r="J288" t="str">
        <f t="shared" si="16"/>
        <v>30-39</v>
      </c>
      <c r="K288" t="str">
        <f t="shared" si="17"/>
        <v>5-10 LPA</v>
      </c>
      <c r="L288" t="str">
        <f t="shared" si="18"/>
        <v>3-5 Years</v>
      </c>
      <c r="M288">
        <f t="shared" si="19"/>
        <v>1</v>
      </c>
    </row>
    <row r="289" spans="1:13" x14ac:dyDescent="0.25">
      <c r="A289" t="s">
        <v>606</v>
      </c>
      <c r="B289">
        <v>35</v>
      </c>
      <c r="C289">
        <v>1155958</v>
      </c>
      <c r="D289">
        <v>7</v>
      </c>
      <c r="E289" t="s">
        <v>19</v>
      </c>
      <c r="F289">
        <v>3</v>
      </c>
      <c r="G289" t="s">
        <v>136</v>
      </c>
      <c r="H289" t="s">
        <v>23</v>
      </c>
      <c r="I289" t="s">
        <v>14</v>
      </c>
      <c r="J289" t="str">
        <f t="shared" si="16"/>
        <v>30-39</v>
      </c>
      <c r="K289" t="str">
        <f t="shared" si="17"/>
        <v>10-15 LPA</v>
      </c>
      <c r="L289" t="str">
        <f t="shared" si="18"/>
        <v>6-10 Years</v>
      </c>
      <c r="M289">
        <f t="shared" si="19"/>
        <v>1</v>
      </c>
    </row>
    <row r="290" spans="1:13" x14ac:dyDescent="0.25">
      <c r="A290" t="s">
        <v>608</v>
      </c>
      <c r="B290">
        <v>32</v>
      </c>
      <c r="C290">
        <v>945951</v>
      </c>
      <c r="D290">
        <v>7</v>
      </c>
      <c r="E290" t="s">
        <v>19</v>
      </c>
      <c r="F290">
        <v>3</v>
      </c>
      <c r="G290" t="s">
        <v>40</v>
      </c>
      <c r="H290" t="s">
        <v>28</v>
      </c>
      <c r="I290" t="s">
        <v>22</v>
      </c>
      <c r="J290" t="str">
        <f t="shared" si="16"/>
        <v>30-39</v>
      </c>
      <c r="K290" t="str">
        <f t="shared" si="17"/>
        <v>5-10 LPA</v>
      </c>
      <c r="L290" t="str">
        <f t="shared" si="18"/>
        <v>6-10 Years</v>
      </c>
      <c r="M290">
        <f t="shared" si="19"/>
        <v>1</v>
      </c>
    </row>
    <row r="291" spans="1:13" x14ac:dyDescent="0.25">
      <c r="A291" t="s">
        <v>609</v>
      </c>
      <c r="B291">
        <v>32</v>
      </c>
      <c r="C291">
        <v>768854</v>
      </c>
      <c r="D291">
        <v>1</v>
      </c>
      <c r="E291" t="s">
        <v>25</v>
      </c>
      <c r="F291">
        <v>4</v>
      </c>
      <c r="G291" t="s">
        <v>40</v>
      </c>
      <c r="H291" t="s">
        <v>61</v>
      </c>
      <c r="I291" t="s">
        <v>14</v>
      </c>
      <c r="J291" t="str">
        <f t="shared" si="16"/>
        <v>30-39</v>
      </c>
      <c r="K291" t="str">
        <f t="shared" si="17"/>
        <v>5-10 LPA</v>
      </c>
      <c r="L291" t="str">
        <f t="shared" si="18"/>
        <v>0-2 Years</v>
      </c>
      <c r="M291">
        <f t="shared" si="19"/>
        <v>0</v>
      </c>
    </row>
    <row r="292" spans="1:13" x14ac:dyDescent="0.25">
      <c r="A292" t="s">
        <v>611</v>
      </c>
      <c r="B292">
        <v>30</v>
      </c>
      <c r="C292">
        <v>1389600</v>
      </c>
      <c r="D292">
        <v>6</v>
      </c>
      <c r="E292" t="s">
        <v>25</v>
      </c>
      <c r="F292">
        <v>3</v>
      </c>
      <c r="G292" t="s">
        <v>32</v>
      </c>
      <c r="H292" t="s">
        <v>78</v>
      </c>
      <c r="I292" t="s">
        <v>14</v>
      </c>
      <c r="J292" t="str">
        <f t="shared" si="16"/>
        <v>30-39</v>
      </c>
      <c r="K292" t="str">
        <f t="shared" si="17"/>
        <v>10-15 LPA</v>
      </c>
      <c r="L292" t="str">
        <f t="shared" si="18"/>
        <v>6-10 Years</v>
      </c>
      <c r="M292">
        <f t="shared" si="19"/>
        <v>0</v>
      </c>
    </row>
    <row r="293" spans="1:13" x14ac:dyDescent="0.25">
      <c r="A293" t="s">
        <v>613</v>
      </c>
      <c r="B293">
        <v>32</v>
      </c>
      <c r="C293">
        <v>1539046</v>
      </c>
      <c r="D293">
        <v>0</v>
      </c>
      <c r="E293" t="s">
        <v>25</v>
      </c>
      <c r="F293">
        <v>2</v>
      </c>
      <c r="G293" t="s">
        <v>32</v>
      </c>
      <c r="H293" t="s">
        <v>45</v>
      </c>
      <c r="I293" t="s">
        <v>22</v>
      </c>
      <c r="J293" t="str">
        <f t="shared" si="16"/>
        <v>30-39</v>
      </c>
      <c r="K293" t="str">
        <f t="shared" si="17"/>
        <v>15+ LPA</v>
      </c>
      <c r="L293" t="str">
        <f t="shared" si="18"/>
        <v>0-2 Years</v>
      </c>
      <c r="M293">
        <f t="shared" si="19"/>
        <v>0</v>
      </c>
    </row>
    <row r="294" spans="1:13" x14ac:dyDescent="0.25">
      <c r="A294" t="s">
        <v>615</v>
      </c>
      <c r="B294">
        <v>37</v>
      </c>
      <c r="C294">
        <v>1290993</v>
      </c>
      <c r="D294">
        <v>10</v>
      </c>
      <c r="E294" t="s">
        <v>25</v>
      </c>
      <c r="F294">
        <v>4</v>
      </c>
      <c r="G294" t="s">
        <v>54</v>
      </c>
      <c r="H294" t="s">
        <v>61</v>
      </c>
      <c r="I294" t="s">
        <v>14</v>
      </c>
      <c r="J294" t="str">
        <f t="shared" si="16"/>
        <v>30-39</v>
      </c>
      <c r="K294" t="str">
        <f t="shared" si="17"/>
        <v>10-15 LPA</v>
      </c>
      <c r="L294" t="str">
        <f t="shared" si="18"/>
        <v>6-10 Years</v>
      </c>
      <c r="M294">
        <f t="shared" si="19"/>
        <v>0</v>
      </c>
    </row>
    <row r="295" spans="1:13" x14ac:dyDescent="0.25">
      <c r="A295" t="s">
        <v>616</v>
      </c>
      <c r="B295">
        <v>32</v>
      </c>
      <c r="C295">
        <v>998164</v>
      </c>
      <c r="D295">
        <v>3</v>
      </c>
      <c r="E295" t="s">
        <v>25</v>
      </c>
      <c r="F295">
        <v>4</v>
      </c>
      <c r="G295" t="s">
        <v>32</v>
      </c>
      <c r="H295" t="s">
        <v>39</v>
      </c>
      <c r="I295" t="s">
        <v>14</v>
      </c>
      <c r="J295" t="str">
        <f t="shared" si="16"/>
        <v>30-39</v>
      </c>
      <c r="K295" t="str">
        <f t="shared" si="17"/>
        <v>5-10 LPA</v>
      </c>
      <c r="L295" t="str">
        <f t="shared" si="18"/>
        <v>3-5 Years</v>
      </c>
      <c r="M295">
        <f t="shared" si="19"/>
        <v>0</v>
      </c>
    </row>
    <row r="296" spans="1:13" x14ac:dyDescent="0.25">
      <c r="A296" t="s">
        <v>617</v>
      </c>
      <c r="B296">
        <v>27</v>
      </c>
      <c r="C296">
        <v>657739</v>
      </c>
      <c r="D296">
        <v>3</v>
      </c>
      <c r="E296" t="s">
        <v>25</v>
      </c>
      <c r="F296">
        <v>2</v>
      </c>
      <c r="G296" t="s">
        <v>40</v>
      </c>
      <c r="H296" t="s">
        <v>50</v>
      </c>
      <c r="I296" t="s">
        <v>14</v>
      </c>
      <c r="J296" t="str">
        <f t="shared" si="16"/>
        <v>25-29</v>
      </c>
      <c r="K296" t="str">
        <f t="shared" si="17"/>
        <v>5-10 LPA</v>
      </c>
      <c r="L296" t="str">
        <f t="shared" si="18"/>
        <v>3-5 Years</v>
      </c>
      <c r="M296">
        <f t="shared" si="19"/>
        <v>0</v>
      </c>
    </row>
    <row r="297" spans="1:13" x14ac:dyDescent="0.25">
      <c r="A297" t="s">
        <v>619</v>
      </c>
      <c r="B297">
        <v>39</v>
      </c>
      <c r="C297">
        <v>1063695</v>
      </c>
      <c r="D297">
        <v>8</v>
      </c>
      <c r="E297" t="s">
        <v>25</v>
      </c>
      <c r="F297">
        <v>3</v>
      </c>
      <c r="G297" t="s">
        <v>54</v>
      </c>
      <c r="H297" t="s">
        <v>31</v>
      </c>
      <c r="I297" t="s">
        <v>14</v>
      </c>
      <c r="J297" t="str">
        <f t="shared" si="16"/>
        <v>30-39</v>
      </c>
      <c r="K297" t="str">
        <f t="shared" si="17"/>
        <v>10-15 LPA</v>
      </c>
      <c r="L297" t="str">
        <f t="shared" si="18"/>
        <v>6-10 Years</v>
      </c>
      <c r="M297">
        <f t="shared" si="19"/>
        <v>0</v>
      </c>
    </row>
    <row r="298" spans="1:13" x14ac:dyDescent="0.25">
      <c r="A298" t="s">
        <v>621</v>
      </c>
      <c r="B298">
        <v>31</v>
      </c>
      <c r="C298">
        <v>1267001</v>
      </c>
      <c r="D298">
        <v>10</v>
      </c>
      <c r="E298" t="s">
        <v>25</v>
      </c>
      <c r="F298">
        <v>3</v>
      </c>
      <c r="G298" t="s">
        <v>136</v>
      </c>
      <c r="H298" t="s">
        <v>78</v>
      </c>
      <c r="I298" t="s">
        <v>14</v>
      </c>
      <c r="J298" t="str">
        <f t="shared" si="16"/>
        <v>30-39</v>
      </c>
      <c r="K298" t="str">
        <f t="shared" si="17"/>
        <v>10-15 LPA</v>
      </c>
      <c r="L298" t="str">
        <f t="shared" si="18"/>
        <v>6-10 Years</v>
      </c>
      <c r="M298">
        <f t="shared" si="19"/>
        <v>0</v>
      </c>
    </row>
    <row r="299" spans="1:13" x14ac:dyDescent="0.25">
      <c r="A299" t="s">
        <v>622</v>
      </c>
      <c r="B299">
        <v>26</v>
      </c>
      <c r="C299">
        <v>652758</v>
      </c>
      <c r="D299">
        <v>3</v>
      </c>
      <c r="E299" t="s">
        <v>25</v>
      </c>
      <c r="F299">
        <v>4</v>
      </c>
      <c r="G299" t="s">
        <v>40</v>
      </c>
      <c r="H299" t="s">
        <v>85</v>
      </c>
      <c r="I299" t="s">
        <v>22</v>
      </c>
      <c r="J299" t="str">
        <f t="shared" si="16"/>
        <v>25-29</v>
      </c>
      <c r="K299" t="str">
        <f t="shared" si="17"/>
        <v>5-10 LPA</v>
      </c>
      <c r="L299" t="str">
        <f t="shared" si="18"/>
        <v>3-5 Years</v>
      </c>
      <c r="M299">
        <f t="shared" si="19"/>
        <v>0</v>
      </c>
    </row>
    <row r="300" spans="1:13" x14ac:dyDescent="0.25">
      <c r="A300" t="s">
        <v>624</v>
      </c>
      <c r="B300">
        <v>34</v>
      </c>
      <c r="C300">
        <v>1252766</v>
      </c>
      <c r="D300">
        <v>6</v>
      </c>
      <c r="E300" t="s">
        <v>25</v>
      </c>
      <c r="F300">
        <v>3</v>
      </c>
      <c r="G300" t="s">
        <v>32</v>
      </c>
      <c r="H300" t="s">
        <v>23</v>
      </c>
      <c r="I300" t="s">
        <v>14</v>
      </c>
      <c r="J300" t="str">
        <f t="shared" si="16"/>
        <v>30-39</v>
      </c>
      <c r="K300" t="str">
        <f t="shared" si="17"/>
        <v>10-15 LPA</v>
      </c>
      <c r="L300" t="str">
        <f t="shared" si="18"/>
        <v>6-10 Years</v>
      </c>
      <c r="M300">
        <f t="shared" si="19"/>
        <v>0</v>
      </c>
    </row>
    <row r="301" spans="1:13" x14ac:dyDescent="0.25">
      <c r="A301" t="s">
        <v>626</v>
      </c>
      <c r="B301">
        <v>30</v>
      </c>
      <c r="C301">
        <v>645722</v>
      </c>
      <c r="D301">
        <v>3</v>
      </c>
      <c r="E301" t="s">
        <v>25</v>
      </c>
      <c r="F301">
        <v>3</v>
      </c>
      <c r="G301" t="s">
        <v>74</v>
      </c>
      <c r="H301" t="s">
        <v>78</v>
      </c>
      <c r="I301" t="s">
        <v>14</v>
      </c>
      <c r="J301" t="str">
        <f t="shared" si="16"/>
        <v>30-39</v>
      </c>
      <c r="K301" t="str">
        <f t="shared" si="17"/>
        <v>5-10 LPA</v>
      </c>
      <c r="L301" t="str">
        <f t="shared" si="18"/>
        <v>3-5 Years</v>
      </c>
      <c r="M301">
        <f t="shared" si="19"/>
        <v>0</v>
      </c>
    </row>
    <row r="302" spans="1:13" x14ac:dyDescent="0.25">
      <c r="A302" t="s">
        <v>628</v>
      </c>
      <c r="B302">
        <v>30</v>
      </c>
      <c r="C302">
        <v>1385719</v>
      </c>
      <c r="D302">
        <v>6</v>
      </c>
      <c r="E302" t="s">
        <v>25</v>
      </c>
      <c r="F302">
        <v>3</v>
      </c>
      <c r="G302" t="s">
        <v>32</v>
      </c>
      <c r="H302" t="s">
        <v>85</v>
      </c>
      <c r="I302" t="s">
        <v>14</v>
      </c>
      <c r="J302" t="str">
        <f t="shared" si="16"/>
        <v>30-39</v>
      </c>
      <c r="K302" t="str">
        <f t="shared" si="17"/>
        <v>10-15 LPA</v>
      </c>
      <c r="L302" t="str">
        <f t="shared" si="18"/>
        <v>6-10 Years</v>
      </c>
      <c r="M302">
        <f t="shared" si="19"/>
        <v>0</v>
      </c>
    </row>
    <row r="303" spans="1:13" x14ac:dyDescent="0.25">
      <c r="A303" t="s">
        <v>630</v>
      </c>
      <c r="B303">
        <v>29</v>
      </c>
      <c r="C303">
        <v>1022840</v>
      </c>
      <c r="D303">
        <v>0</v>
      </c>
      <c r="E303" t="s">
        <v>25</v>
      </c>
      <c r="F303">
        <v>4</v>
      </c>
      <c r="G303" t="s">
        <v>54</v>
      </c>
      <c r="H303" t="s">
        <v>45</v>
      </c>
      <c r="I303" t="s">
        <v>14</v>
      </c>
      <c r="J303" t="str">
        <f t="shared" si="16"/>
        <v>25-29</v>
      </c>
      <c r="K303" t="str">
        <f t="shared" si="17"/>
        <v>10-15 LPA</v>
      </c>
      <c r="L303" t="str">
        <f t="shared" si="18"/>
        <v>0-2 Years</v>
      </c>
      <c r="M303">
        <f t="shared" si="19"/>
        <v>0</v>
      </c>
    </row>
    <row r="304" spans="1:13" x14ac:dyDescent="0.25">
      <c r="A304" t="s">
        <v>632</v>
      </c>
      <c r="B304">
        <v>21</v>
      </c>
      <c r="C304">
        <v>292721</v>
      </c>
      <c r="D304">
        <v>0</v>
      </c>
      <c r="E304" t="s">
        <v>19</v>
      </c>
      <c r="F304">
        <v>1</v>
      </c>
      <c r="G304" t="s">
        <v>74</v>
      </c>
      <c r="H304" t="s">
        <v>61</v>
      </c>
      <c r="I304" t="s">
        <v>14</v>
      </c>
      <c r="J304" t="str">
        <f t="shared" si="16"/>
        <v>21-24</v>
      </c>
      <c r="K304" t="str">
        <f t="shared" si="17"/>
        <v>Below 5 LPA</v>
      </c>
      <c r="L304" t="str">
        <f t="shared" si="18"/>
        <v>0-2 Years</v>
      </c>
      <c r="M304">
        <f t="shared" si="19"/>
        <v>1</v>
      </c>
    </row>
    <row r="305" spans="1:13" x14ac:dyDescent="0.25">
      <c r="A305" t="s">
        <v>634</v>
      </c>
      <c r="B305">
        <v>24</v>
      </c>
      <c r="C305">
        <v>1165307</v>
      </c>
      <c r="D305">
        <v>0</v>
      </c>
      <c r="E305" t="s">
        <v>25</v>
      </c>
      <c r="F305">
        <v>1</v>
      </c>
      <c r="G305" t="s">
        <v>32</v>
      </c>
      <c r="H305" t="s">
        <v>31</v>
      </c>
      <c r="I305" t="s">
        <v>14</v>
      </c>
      <c r="J305" t="str">
        <f t="shared" si="16"/>
        <v>21-24</v>
      </c>
      <c r="K305" t="str">
        <f t="shared" si="17"/>
        <v>10-15 LPA</v>
      </c>
      <c r="L305" t="str">
        <f t="shared" si="18"/>
        <v>0-2 Years</v>
      </c>
      <c r="M305">
        <f t="shared" si="19"/>
        <v>0</v>
      </c>
    </row>
    <row r="306" spans="1:13" x14ac:dyDescent="0.25">
      <c r="A306" t="s">
        <v>635</v>
      </c>
      <c r="B306">
        <v>46</v>
      </c>
      <c r="C306">
        <v>1240868</v>
      </c>
      <c r="D306">
        <v>14</v>
      </c>
      <c r="E306" t="s">
        <v>19</v>
      </c>
      <c r="F306">
        <v>5</v>
      </c>
      <c r="G306" t="s">
        <v>40</v>
      </c>
      <c r="H306" t="s">
        <v>31</v>
      </c>
      <c r="I306" t="s">
        <v>22</v>
      </c>
      <c r="J306" t="str">
        <f t="shared" si="16"/>
        <v>40-49</v>
      </c>
      <c r="K306" t="str">
        <f t="shared" si="17"/>
        <v>10-15 LPA</v>
      </c>
      <c r="L306" t="str">
        <f t="shared" si="18"/>
        <v>10+ Years</v>
      </c>
      <c r="M306">
        <f t="shared" si="19"/>
        <v>1</v>
      </c>
    </row>
    <row r="307" spans="1:13" x14ac:dyDescent="0.25">
      <c r="A307" t="s">
        <v>636</v>
      </c>
      <c r="B307">
        <v>42</v>
      </c>
      <c r="C307">
        <v>1678263</v>
      </c>
      <c r="D307">
        <v>13</v>
      </c>
      <c r="E307" t="s">
        <v>25</v>
      </c>
      <c r="F307">
        <v>1</v>
      </c>
      <c r="G307" t="s">
        <v>16</v>
      </c>
      <c r="H307" t="s">
        <v>28</v>
      </c>
      <c r="I307" t="s">
        <v>14</v>
      </c>
      <c r="J307" t="str">
        <f t="shared" si="16"/>
        <v>40-49</v>
      </c>
      <c r="K307" t="str">
        <f t="shared" si="17"/>
        <v>15+ LPA</v>
      </c>
      <c r="L307" t="str">
        <f t="shared" si="18"/>
        <v>10+ Years</v>
      </c>
      <c r="M307">
        <f t="shared" si="19"/>
        <v>0</v>
      </c>
    </row>
    <row r="308" spans="1:13" x14ac:dyDescent="0.25">
      <c r="A308" t="s">
        <v>638</v>
      </c>
      <c r="B308">
        <v>21</v>
      </c>
      <c r="C308">
        <v>658980</v>
      </c>
      <c r="D308">
        <v>0</v>
      </c>
      <c r="E308" t="s">
        <v>25</v>
      </c>
      <c r="F308">
        <v>5</v>
      </c>
      <c r="G308" t="s">
        <v>136</v>
      </c>
      <c r="H308" t="s">
        <v>45</v>
      </c>
      <c r="I308" t="s">
        <v>22</v>
      </c>
      <c r="J308" t="str">
        <f t="shared" si="16"/>
        <v>21-24</v>
      </c>
      <c r="K308" t="str">
        <f t="shared" si="17"/>
        <v>5-10 LPA</v>
      </c>
      <c r="L308" t="str">
        <f t="shared" si="18"/>
        <v>0-2 Years</v>
      </c>
      <c r="M308">
        <f t="shared" si="19"/>
        <v>0</v>
      </c>
    </row>
    <row r="309" spans="1:13" x14ac:dyDescent="0.25">
      <c r="A309" t="s">
        <v>640</v>
      </c>
      <c r="B309">
        <v>22</v>
      </c>
      <c r="C309">
        <v>616955</v>
      </c>
      <c r="D309">
        <v>1</v>
      </c>
      <c r="E309" t="s">
        <v>25</v>
      </c>
      <c r="F309">
        <v>3</v>
      </c>
      <c r="G309" t="s">
        <v>54</v>
      </c>
      <c r="H309" t="s">
        <v>61</v>
      </c>
      <c r="I309" t="s">
        <v>14</v>
      </c>
      <c r="J309" t="str">
        <f t="shared" si="16"/>
        <v>21-24</v>
      </c>
      <c r="K309" t="str">
        <f t="shared" si="17"/>
        <v>5-10 LPA</v>
      </c>
      <c r="L309" t="str">
        <f t="shared" si="18"/>
        <v>0-2 Years</v>
      </c>
      <c r="M309">
        <f t="shared" si="19"/>
        <v>0</v>
      </c>
    </row>
    <row r="310" spans="1:13" x14ac:dyDescent="0.25">
      <c r="A310" t="s">
        <v>642</v>
      </c>
      <c r="B310">
        <v>26</v>
      </c>
      <c r="C310">
        <v>907446</v>
      </c>
      <c r="D310">
        <v>0</v>
      </c>
      <c r="E310" t="s">
        <v>25</v>
      </c>
      <c r="F310">
        <v>5</v>
      </c>
      <c r="G310" t="s">
        <v>32</v>
      </c>
      <c r="H310" t="s">
        <v>39</v>
      </c>
      <c r="I310" t="s">
        <v>14</v>
      </c>
      <c r="J310" t="str">
        <f t="shared" si="16"/>
        <v>25-29</v>
      </c>
      <c r="K310" t="str">
        <f t="shared" si="17"/>
        <v>5-10 LPA</v>
      </c>
      <c r="L310" t="str">
        <f t="shared" si="18"/>
        <v>0-2 Years</v>
      </c>
      <c r="M310">
        <f t="shared" si="19"/>
        <v>0</v>
      </c>
    </row>
    <row r="311" spans="1:13" x14ac:dyDescent="0.25">
      <c r="A311" t="s">
        <v>643</v>
      </c>
      <c r="B311">
        <v>31</v>
      </c>
      <c r="C311">
        <v>1195763</v>
      </c>
      <c r="D311">
        <v>5</v>
      </c>
      <c r="E311" t="s">
        <v>25</v>
      </c>
      <c r="F311">
        <v>3</v>
      </c>
      <c r="G311" t="s">
        <v>46</v>
      </c>
      <c r="H311" t="s">
        <v>15</v>
      </c>
      <c r="I311" t="s">
        <v>22</v>
      </c>
      <c r="J311" t="str">
        <f t="shared" si="16"/>
        <v>30-39</v>
      </c>
      <c r="K311" t="str">
        <f t="shared" si="17"/>
        <v>10-15 LPA</v>
      </c>
      <c r="L311" t="str">
        <f t="shared" si="18"/>
        <v>3-5 Years</v>
      </c>
      <c r="M311">
        <f t="shared" si="19"/>
        <v>0</v>
      </c>
    </row>
    <row r="312" spans="1:13" x14ac:dyDescent="0.25">
      <c r="A312" t="s">
        <v>645</v>
      </c>
      <c r="B312">
        <v>34</v>
      </c>
      <c r="C312">
        <v>1154313</v>
      </c>
      <c r="D312">
        <v>4</v>
      </c>
      <c r="E312" t="s">
        <v>25</v>
      </c>
      <c r="F312">
        <v>3</v>
      </c>
      <c r="G312" t="s">
        <v>54</v>
      </c>
      <c r="H312" t="s">
        <v>31</v>
      </c>
      <c r="I312" t="s">
        <v>14</v>
      </c>
      <c r="J312" t="str">
        <f t="shared" si="16"/>
        <v>30-39</v>
      </c>
      <c r="K312" t="str">
        <f t="shared" si="17"/>
        <v>10-15 LPA</v>
      </c>
      <c r="L312" t="str">
        <f t="shared" si="18"/>
        <v>3-5 Years</v>
      </c>
      <c r="M312">
        <f t="shared" si="19"/>
        <v>0</v>
      </c>
    </row>
    <row r="313" spans="1:13" x14ac:dyDescent="0.25">
      <c r="A313" t="s">
        <v>646</v>
      </c>
      <c r="B313">
        <v>29</v>
      </c>
      <c r="C313">
        <v>456817</v>
      </c>
      <c r="D313">
        <v>1</v>
      </c>
      <c r="E313" t="s">
        <v>25</v>
      </c>
      <c r="F313">
        <v>3</v>
      </c>
      <c r="G313" t="s">
        <v>74</v>
      </c>
      <c r="H313" t="s">
        <v>39</v>
      </c>
      <c r="I313" t="s">
        <v>22</v>
      </c>
      <c r="J313" t="str">
        <f t="shared" si="16"/>
        <v>25-29</v>
      </c>
      <c r="K313" t="str">
        <f t="shared" si="17"/>
        <v>Below 5 LPA</v>
      </c>
      <c r="L313" t="str">
        <f t="shared" si="18"/>
        <v>0-2 Years</v>
      </c>
      <c r="M313">
        <f t="shared" si="19"/>
        <v>0</v>
      </c>
    </row>
    <row r="314" spans="1:13" x14ac:dyDescent="0.25">
      <c r="A314" t="s">
        <v>648</v>
      </c>
      <c r="B314">
        <v>24</v>
      </c>
      <c r="C314">
        <v>1650342</v>
      </c>
      <c r="D314">
        <v>1</v>
      </c>
      <c r="E314" t="s">
        <v>19</v>
      </c>
      <c r="F314">
        <v>3</v>
      </c>
      <c r="G314" t="s">
        <v>46</v>
      </c>
      <c r="H314" t="s">
        <v>23</v>
      </c>
      <c r="I314" t="s">
        <v>22</v>
      </c>
      <c r="J314" t="str">
        <f t="shared" si="16"/>
        <v>21-24</v>
      </c>
      <c r="K314" t="str">
        <f t="shared" si="17"/>
        <v>15+ LPA</v>
      </c>
      <c r="L314" t="str">
        <f t="shared" si="18"/>
        <v>0-2 Years</v>
      </c>
      <c r="M314">
        <f t="shared" si="19"/>
        <v>1</v>
      </c>
    </row>
    <row r="315" spans="1:13" x14ac:dyDescent="0.25">
      <c r="A315" t="s">
        <v>649</v>
      </c>
      <c r="B315">
        <v>21</v>
      </c>
      <c r="C315">
        <v>1576056</v>
      </c>
      <c r="D315">
        <v>0</v>
      </c>
      <c r="E315" t="s">
        <v>19</v>
      </c>
      <c r="F315">
        <v>2</v>
      </c>
      <c r="G315" t="s">
        <v>32</v>
      </c>
      <c r="H315" t="s">
        <v>61</v>
      </c>
      <c r="I315" t="s">
        <v>14</v>
      </c>
      <c r="J315" t="str">
        <f t="shared" si="16"/>
        <v>21-24</v>
      </c>
      <c r="K315" t="str">
        <f t="shared" si="17"/>
        <v>15+ LPA</v>
      </c>
      <c r="L315" t="str">
        <f t="shared" si="18"/>
        <v>0-2 Years</v>
      </c>
      <c r="M315">
        <f t="shared" si="19"/>
        <v>1</v>
      </c>
    </row>
    <row r="316" spans="1:13" x14ac:dyDescent="0.25">
      <c r="A316" t="s">
        <v>651</v>
      </c>
      <c r="B316">
        <v>35</v>
      </c>
      <c r="C316">
        <v>814316</v>
      </c>
      <c r="D316">
        <v>8</v>
      </c>
      <c r="E316" t="s">
        <v>25</v>
      </c>
      <c r="F316">
        <v>3</v>
      </c>
      <c r="G316" t="s">
        <v>40</v>
      </c>
      <c r="H316" t="s">
        <v>61</v>
      </c>
      <c r="I316" t="s">
        <v>14</v>
      </c>
      <c r="J316" t="str">
        <f t="shared" si="16"/>
        <v>30-39</v>
      </c>
      <c r="K316" t="str">
        <f t="shared" si="17"/>
        <v>5-10 LPA</v>
      </c>
      <c r="L316" t="str">
        <f t="shared" si="18"/>
        <v>6-10 Years</v>
      </c>
      <c r="M316">
        <f t="shared" si="19"/>
        <v>0</v>
      </c>
    </row>
    <row r="317" spans="1:13" x14ac:dyDescent="0.25">
      <c r="A317" t="s">
        <v>653</v>
      </c>
      <c r="B317">
        <v>34</v>
      </c>
      <c r="C317">
        <v>1790421</v>
      </c>
      <c r="D317">
        <v>7</v>
      </c>
      <c r="E317" t="s">
        <v>25</v>
      </c>
      <c r="F317">
        <v>4</v>
      </c>
      <c r="G317" t="s">
        <v>46</v>
      </c>
      <c r="H317" t="s">
        <v>23</v>
      </c>
      <c r="I317" t="s">
        <v>22</v>
      </c>
      <c r="J317" t="str">
        <f t="shared" si="16"/>
        <v>30-39</v>
      </c>
      <c r="K317" t="str">
        <f t="shared" si="17"/>
        <v>15+ LPA</v>
      </c>
      <c r="L317" t="str">
        <f t="shared" si="18"/>
        <v>6-10 Years</v>
      </c>
      <c r="M317">
        <f t="shared" si="19"/>
        <v>0</v>
      </c>
    </row>
    <row r="318" spans="1:13" x14ac:dyDescent="0.25">
      <c r="A318" t="s">
        <v>655</v>
      </c>
      <c r="B318">
        <v>32</v>
      </c>
      <c r="C318">
        <v>1582359</v>
      </c>
      <c r="D318">
        <v>7</v>
      </c>
      <c r="E318" t="s">
        <v>25</v>
      </c>
      <c r="F318">
        <v>3</v>
      </c>
      <c r="G318" t="s">
        <v>46</v>
      </c>
      <c r="H318" t="s">
        <v>15</v>
      </c>
      <c r="I318" t="s">
        <v>22</v>
      </c>
      <c r="J318" t="str">
        <f t="shared" si="16"/>
        <v>30-39</v>
      </c>
      <c r="K318" t="str">
        <f t="shared" si="17"/>
        <v>15+ LPA</v>
      </c>
      <c r="L318" t="str">
        <f t="shared" si="18"/>
        <v>6-10 Years</v>
      </c>
      <c r="M318">
        <f t="shared" si="19"/>
        <v>0</v>
      </c>
    </row>
    <row r="319" spans="1:13" x14ac:dyDescent="0.25">
      <c r="A319" t="s">
        <v>657</v>
      </c>
      <c r="B319">
        <v>23</v>
      </c>
      <c r="C319">
        <v>1255016</v>
      </c>
      <c r="D319">
        <v>0</v>
      </c>
      <c r="E319" t="s">
        <v>19</v>
      </c>
      <c r="F319">
        <v>3</v>
      </c>
      <c r="G319" t="s">
        <v>32</v>
      </c>
      <c r="H319" t="s">
        <v>61</v>
      </c>
      <c r="I319" t="s">
        <v>22</v>
      </c>
      <c r="J319" t="str">
        <f t="shared" si="16"/>
        <v>21-24</v>
      </c>
      <c r="K319" t="str">
        <f t="shared" si="17"/>
        <v>10-15 LPA</v>
      </c>
      <c r="L319" t="str">
        <f t="shared" si="18"/>
        <v>0-2 Years</v>
      </c>
      <c r="M319">
        <f t="shared" si="19"/>
        <v>1</v>
      </c>
    </row>
    <row r="320" spans="1:13" x14ac:dyDescent="0.25">
      <c r="A320" t="s">
        <v>659</v>
      </c>
      <c r="B320">
        <v>36</v>
      </c>
      <c r="C320">
        <v>822389</v>
      </c>
      <c r="D320">
        <v>7</v>
      </c>
      <c r="E320" t="s">
        <v>25</v>
      </c>
      <c r="F320">
        <v>4</v>
      </c>
      <c r="G320" t="s">
        <v>40</v>
      </c>
      <c r="H320" t="s">
        <v>23</v>
      </c>
      <c r="I320" t="s">
        <v>14</v>
      </c>
      <c r="J320" t="str">
        <f t="shared" si="16"/>
        <v>30-39</v>
      </c>
      <c r="K320" t="str">
        <f t="shared" si="17"/>
        <v>5-10 LPA</v>
      </c>
      <c r="L320" t="str">
        <f t="shared" si="18"/>
        <v>6-10 Years</v>
      </c>
      <c r="M320">
        <f t="shared" si="19"/>
        <v>0</v>
      </c>
    </row>
    <row r="321" spans="1:13" x14ac:dyDescent="0.25">
      <c r="A321" t="s">
        <v>661</v>
      </c>
      <c r="B321">
        <v>24</v>
      </c>
      <c r="C321">
        <v>1176548</v>
      </c>
      <c r="D321">
        <v>0</v>
      </c>
      <c r="E321" t="s">
        <v>19</v>
      </c>
      <c r="F321">
        <v>2</v>
      </c>
      <c r="G321" t="s">
        <v>32</v>
      </c>
      <c r="H321" t="s">
        <v>78</v>
      </c>
      <c r="I321" t="s">
        <v>14</v>
      </c>
      <c r="J321" t="str">
        <f t="shared" si="16"/>
        <v>21-24</v>
      </c>
      <c r="K321" t="str">
        <f t="shared" si="17"/>
        <v>10-15 LPA</v>
      </c>
      <c r="L321" t="str">
        <f t="shared" si="18"/>
        <v>0-2 Years</v>
      </c>
      <c r="M321">
        <f t="shared" si="19"/>
        <v>1</v>
      </c>
    </row>
    <row r="322" spans="1:13" x14ac:dyDescent="0.25">
      <c r="A322" t="s">
        <v>663</v>
      </c>
      <c r="B322">
        <v>22</v>
      </c>
      <c r="C322">
        <v>634046</v>
      </c>
      <c r="D322">
        <v>0</v>
      </c>
      <c r="E322" t="s">
        <v>25</v>
      </c>
      <c r="F322">
        <v>3</v>
      </c>
      <c r="G322" t="s">
        <v>54</v>
      </c>
      <c r="H322" t="s">
        <v>31</v>
      </c>
      <c r="I322" t="s">
        <v>14</v>
      </c>
      <c r="J322" t="str">
        <f t="shared" si="16"/>
        <v>21-24</v>
      </c>
      <c r="K322" t="str">
        <f t="shared" si="17"/>
        <v>5-10 LPA</v>
      </c>
      <c r="L322" t="str">
        <f t="shared" si="18"/>
        <v>0-2 Years</v>
      </c>
      <c r="M322">
        <f t="shared" si="19"/>
        <v>0</v>
      </c>
    </row>
    <row r="323" spans="1:13" x14ac:dyDescent="0.25">
      <c r="A323" t="s">
        <v>664</v>
      </c>
      <c r="B323">
        <v>36</v>
      </c>
      <c r="C323">
        <v>1622833</v>
      </c>
      <c r="D323">
        <v>2</v>
      </c>
      <c r="E323" t="s">
        <v>25</v>
      </c>
      <c r="F323">
        <v>2</v>
      </c>
      <c r="G323" t="s">
        <v>32</v>
      </c>
      <c r="H323" t="s">
        <v>23</v>
      </c>
      <c r="I323" t="s">
        <v>14</v>
      </c>
      <c r="J323" t="str">
        <f t="shared" ref="J323:J386" si="20">IF(B323&lt;25,"21-24",
IF(B323&lt;30,"25-29",
IF(B323&lt;40,"30-39",
IF(B323&lt;50,"40-49","50+"))))</f>
        <v>30-39</v>
      </c>
      <c r="K323" t="str">
        <f t="shared" ref="K323:K386" si="21">IF(C323&lt;500000,"Below 5 LPA",
IF(C323&lt;1000000,"5-10 LPA",
IF(C323&lt;1500000,"10-15 LPA","15+ LPA")))</f>
        <v>15+ LPA</v>
      </c>
      <c r="L323" t="str">
        <f t="shared" ref="L323:L386" si="22">IF(D323&lt;=2,"0-2 Years",
IF(D323&lt;=5,"3-5 Years",
IF(D323&lt;=10,"6-10 Years","10+ Years")))</f>
        <v>0-2 Years</v>
      </c>
      <c r="M323">
        <f t="shared" ref="M323:M386" si="23">IF(E323="Yes",1,0)</f>
        <v>0</v>
      </c>
    </row>
    <row r="324" spans="1:13" x14ac:dyDescent="0.25">
      <c r="A324" t="s">
        <v>665</v>
      </c>
      <c r="B324">
        <v>21</v>
      </c>
      <c r="C324">
        <v>861251</v>
      </c>
      <c r="D324">
        <v>0</v>
      </c>
      <c r="E324" t="s">
        <v>25</v>
      </c>
      <c r="F324">
        <v>3</v>
      </c>
      <c r="G324" t="s">
        <v>66</v>
      </c>
      <c r="H324" t="s">
        <v>45</v>
      </c>
      <c r="I324" t="s">
        <v>14</v>
      </c>
      <c r="J324" t="str">
        <f t="shared" si="20"/>
        <v>21-24</v>
      </c>
      <c r="K324" t="str">
        <f t="shared" si="21"/>
        <v>5-10 LPA</v>
      </c>
      <c r="L324" t="str">
        <f t="shared" si="22"/>
        <v>0-2 Years</v>
      </c>
      <c r="M324">
        <f t="shared" si="23"/>
        <v>0</v>
      </c>
    </row>
    <row r="325" spans="1:13" x14ac:dyDescent="0.25">
      <c r="A325" t="s">
        <v>667</v>
      </c>
      <c r="B325">
        <v>30</v>
      </c>
      <c r="C325">
        <v>1264218</v>
      </c>
      <c r="D325">
        <v>9</v>
      </c>
      <c r="E325" t="s">
        <v>25</v>
      </c>
      <c r="F325">
        <v>3</v>
      </c>
      <c r="G325" t="s">
        <v>32</v>
      </c>
      <c r="H325" t="s">
        <v>15</v>
      </c>
      <c r="I325" t="s">
        <v>22</v>
      </c>
      <c r="J325" t="str">
        <f t="shared" si="20"/>
        <v>30-39</v>
      </c>
      <c r="K325" t="str">
        <f t="shared" si="21"/>
        <v>10-15 LPA</v>
      </c>
      <c r="L325" t="str">
        <f t="shared" si="22"/>
        <v>6-10 Years</v>
      </c>
      <c r="M325">
        <f t="shared" si="23"/>
        <v>0</v>
      </c>
    </row>
    <row r="326" spans="1:13" x14ac:dyDescent="0.25">
      <c r="A326" t="s">
        <v>669</v>
      </c>
      <c r="B326">
        <v>41</v>
      </c>
      <c r="C326">
        <v>1624312</v>
      </c>
      <c r="D326">
        <v>9</v>
      </c>
      <c r="E326" t="s">
        <v>25</v>
      </c>
      <c r="F326">
        <v>2</v>
      </c>
      <c r="G326" t="s">
        <v>32</v>
      </c>
      <c r="H326" t="s">
        <v>31</v>
      </c>
      <c r="I326" t="s">
        <v>22</v>
      </c>
      <c r="J326" t="str">
        <f t="shared" si="20"/>
        <v>40-49</v>
      </c>
      <c r="K326" t="str">
        <f t="shared" si="21"/>
        <v>15+ LPA</v>
      </c>
      <c r="L326" t="str">
        <f t="shared" si="22"/>
        <v>6-10 Years</v>
      </c>
      <c r="M326">
        <f t="shared" si="23"/>
        <v>0</v>
      </c>
    </row>
    <row r="327" spans="1:13" x14ac:dyDescent="0.25">
      <c r="A327" t="s">
        <v>671</v>
      </c>
      <c r="B327">
        <v>22</v>
      </c>
      <c r="C327">
        <v>492905</v>
      </c>
      <c r="D327">
        <v>0</v>
      </c>
      <c r="E327" t="s">
        <v>25</v>
      </c>
      <c r="F327">
        <v>3</v>
      </c>
      <c r="G327" t="s">
        <v>74</v>
      </c>
      <c r="H327" t="s">
        <v>61</v>
      </c>
      <c r="I327" t="s">
        <v>22</v>
      </c>
      <c r="J327" t="str">
        <f t="shared" si="20"/>
        <v>21-24</v>
      </c>
      <c r="K327" t="str">
        <f t="shared" si="21"/>
        <v>Below 5 LPA</v>
      </c>
      <c r="L327" t="str">
        <f t="shared" si="22"/>
        <v>0-2 Years</v>
      </c>
      <c r="M327">
        <f t="shared" si="23"/>
        <v>0</v>
      </c>
    </row>
    <row r="328" spans="1:13" x14ac:dyDescent="0.25">
      <c r="A328" t="s">
        <v>672</v>
      </c>
      <c r="B328">
        <v>25</v>
      </c>
      <c r="C328">
        <v>678441</v>
      </c>
      <c r="D328">
        <v>3</v>
      </c>
      <c r="E328" t="s">
        <v>19</v>
      </c>
      <c r="F328">
        <v>1</v>
      </c>
      <c r="G328" t="s">
        <v>74</v>
      </c>
      <c r="H328" t="s">
        <v>31</v>
      </c>
      <c r="I328" t="s">
        <v>22</v>
      </c>
      <c r="J328" t="str">
        <f t="shared" si="20"/>
        <v>25-29</v>
      </c>
      <c r="K328" t="str">
        <f t="shared" si="21"/>
        <v>5-10 LPA</v>
      </c>
      <c r="L328" t="str">
        <f t="shared" si="22"/>
        <v>3-5 Years</v>
      </c>
      <c r="M328">
        <f t="shared" si="23"/>
        <v>1</v>
      </c>
    </row>
    <row r="329" spans="1:13" x14ac:dyDescent="0.25">
      <c r="A329" t="s">
        <v>674</v>
      </c>
      <c r="B329">
        <v>21</v>
      </c>
      <c r="C329">
        <v>1178073</v>
      </c>
      <c r="D329">
        <v>0</v>
      </c>
      <c r="E329" t="s">
        <v>25</v>
      </c>
      <c r="F329">
        <v>3</v>
      </c>
      <c r="G329" t="s">
        <v>46</v>
      </c>
      <c r="H329" t="s">
        <v>39</v>
      </c>
      <c r="I329" t="s">
        <v>22</v>
      </c>
      <c r="J329" t="str">
        <f t="shared" si="20"/>
        <v>21-24</v>
      </c>
      <c r="K329" t="str">
        <f t="shared" si="21"/>
        <v>10-15 LPA</v>
      </c>
      <c r="L329" t="str">
        <f t="shared" si="22"/>
        <v>0-2 Years</v>
      </c>
      <c r="M329">
        <f t="shared" si="23"/>
        <v>0</v>
      </c>
    </row>
    <row r="330" spans="1:13" x14ac:dyDescent="0.25">
      <c r="A330" t="s">
        <v>676</v>
      </c>
      <c r="B330">
        <v>40</v>
      </c>
      <c r="C330">
        <v>969393</v>
      </c>
      <c r="D330">
        <v>12</v>
      </c>
      <c r="E330" t="s">
        <v>25</v>
      </c>
      <c r="F330">
        <v>3</v>
      </c>
      <c r="G330" t="s">
        <v>74</v>
      </c>
      <c r="H330" t="s">
        <v>39</v>
      </c>
      <c r="I330" t="s">
        <v>14</v>
      </c>
      <c r="J330" t="str">
        <f t="shared" si="20"/>
        <v>40-49</v>
      </c>
      <c r="K330" t="str">
        <f t="shared" si="21"/>
        <v>5-10 LPA</v>
      </c>
      <c r="L330" t="str">
        <f t="shared" si="22"/>
        <v>10+ Years</v>
      </c>
      <c r="M330">
        <f t="shared" si="23"/>
        <v>0</v>
      </c>
    </row>
    <row r="331" spans="1:13" x14ac:dyDescent="0.25">
      <c r="A331" t="s">
        <v>678</v>
      </c>
      <c r="B331">
        <v>23</v>
      </c>
      <c r="C331">
        <v>567361</v>
      </c>
      <c r="D331">
        <v>2</v>
      </c>
      <c r="E331" t="s">
        <v>25</v>
      </c>
      <c r="F331">
        <v>4</v>
      </c>
      <c r="G331" t="s">
        <v>54</v>
      </c>
      <c r="H331" t="s">
        <v>85</v>
      </c>
      <c r="I331" t="s">
        <v>14</v>
      </c>
      <c r="J331" t="str">
        <f t="shared" si="20"/>
        <v>21-24</v>
      </c>
      <c r="K331" t="str">
        <f t="shared" si="21"/>
        <v>5-10 LPA</v>
      </c>
      <c r="L331" t="str">
        <f t="shared" si="22"/>
        <v>0-2 Years</v>
      </c>
      <c r="M331">
        <f t="shared" si="23"/>
        <v>0</v>
      </c>
    </row>
    <row r="332" spans="1:13" x14ac:dyDescent="0.25">
      <c r="A332" t="s">
        <v>679</v>
      </c>
      <c r="B332">
        <v>27</v>
      </c>
      <c r="C332">
        <v>1360727</v>
      </c>
      <c r="D332">
        <v>3</v>
      </c>
      <c r="E332" t="s">
        <v>25</v>
      </c>
      <c r="F332">
        <v>3</v>
      </c>
      <c r="G332" t="s">
        <v>32</v>
      </c>
      <c r="H332" t="s">
        <v>78</v>
      </c>
      <c r="I332" t="s">
        <v>22</v>
      </c>
      <c r="J332" t="str">
        <f t="shared" si="20"/>
        <v>25-29</v>
      </c>
      <c r="K332" t="str">
        <f t="shared" si="21"/>
        <v>10-15 LPA</v>
      </c>
      <c r="L332" t="str">
        <f t="shared" si="22"/>
        <v>3-5 Years</v>
      </c>
      <c r="M332">
        <f t="shared" si="23"/>
        <v>0</v>
      </c>
    </row>
    <row r="333" spans="1:13" x14ac:dyDescent="0.25">
      <c r="A333" t="s">
        <v>681</v>
      </c>
      <c r="B333">
        <v>28</v>
      </c>
      <c r="C333">
        <v>689722</v>
      </c>
      <c r="D333">
        <v>5</v>
      </c>
      <c r="E333" t="s">
        <v>19</v>
      </c>
      <c r="F333">
        <v>4</v>
      </c>
      <c r="G333" t="s">
        <v>40</v>
      </c>
      <c r="H333" t="s">
        <v>39</v>
      </c>
      <c r="I333" t="s">
        <v>14</v>
      </c>
      <c r="J333" t="str">
        <f t="shared" si="20"/>
        <v>25-29</v>
      </c>
      <c r="K333" t="str">
        <f t="shared" si="21"/>
        <v>5-10 LPA</v>
      </c>
      <c r="L333" t="str">
        <f t="shared" si="22"/>
        <v>3-5 Years</v>
      </c>
      <c r="M333">
        <f t="shared" si="23"/>
        <v>1</v>
      </c>
    </row>
    <row r="334" spans="1:13" x14ac:dyDescent="0.25">
      <c r="A334" t="s">
        <v>683</v>
      </c>
      <c r="B334">
        <v>21</v>
      </c>
      <c r="C334">
        <v>1732374</v>
      </c>
      <c r="D334">
        <v>0</v>
      </c>
      <c r="E334" t="s">
        <v>25</v>
      </c>
      <c r="F334">
        <v>3</v>
      </c>
      <c r="G334" t="s">
        <v>46</v>
      </c>
      <c r="H334" t="s">
        <v>28</v>
      </c>
      <c r="I334" t="s">
        <v>14</v>
      </c>
      <c r="J334" t="str">
        <f t="shared" si="20"/>
        <v>21-24</v>
      </c>
      <c r="K334" t="str">
        <f t="shared" si="21"/>
        <v>15+ LPA</v>
      </c>
      <c r="L334" t="str">
        <f t="shared" si="22"/>
        <v>0-2 Years</v>
      </c>
      <c r="M334">
        <f t="shared" si="23"/>
        <v>0</v>
      </c>
    </row>
    <row r="335" spans="1:13" x14ac:dyDescent="0.25">
      <c r="A335" t="s">
        <v>684</v>
      </c>
      <c r="B335">
        <v>38</v>
      </c>
      <c r="C335">
        <v>1232942</v>
      </c>
      <c r="D335">
        <v>11</v>
      </c>
      <c r="E335" t="s">
        <v>25</v>
      </c>
      <c r="F335">
        <v>2</v>
      </c>
      <c r="G335" t="s">
        <v>40</v>
      </c>
      <c r="H335" t="s">
        <v>45</v>
      </c>
      <c r="I335" t="s">
        <v>22</v>
      </c>
      <c r="J335" t="str">
        <f t="shared" si="20"/>
        <v>30-39</v>
      </c>
      <c r="K335" t="str">
        <f t="shared" si="21"/>
        <v>10-15 LPA</v>
      </c>
      <c r="L335" t="str">
        <f t="shared" si="22"/>
        <v>10+ Years</v>
      </c>
      <c r="M335">
        <f t="shared" si="23"/>
        <v>0</v>
      </c>
    </row>
    <row r="336" spans="1:13" x14ac:dyDescent="0.25">
      <c r="A336" t="s">
        <v>686</v>
      </c>
      <c r="B336">
        <v>39</v>
      </c>
      <c r="C336">
        <v>1637285</v>
      </c>
      <c r="D336">
        <v>12</v>
      </c>
      <c r="E336" t="s">
        <v>25</v>
      </c>
      <c r="F336">
        <v>2</v>
      </c>
      <c r="G336" t="s">
        <v>32</v>
      </c>
      <c r="H336" t="s">
        <v>78</v>
      </c>
      <c r="I336" t="s">
        <v>14</v>
      </c>
      <c r="J336" t="str">
        <f t="shared" si="20"/>
        <v>30-39</v>
      </c>
      <c r="K336" t="str">
        <f t="shared" si="21"/>
        <v>15+ LPA</v>
      </c>
      <c r="L336" t="str">
        <f t="shared" si="22"/>
        <v>10+ Years</v>
      </c>
      <c r="M336">
        <f t="shared" si="23"/>
        <v>0</v>
      </c>
    </row>
    <row r="337" spans="1:13" x14ac:dyDescent="0.25">
      <c r="A337" t="s">
        <v>688</v>
      </c>
      <c r="B337">
        <v>31</v>
      </c>
      <c r="C337">
        <v>698556</v>
      </c>
      <c r="D337">
        <v>4</v>
      </c>
      <c r="E337" t="s">
        <v>25</v>
      </c>
      <c r="F337">
        <v>3</v>
      </c>
      <c r="G337" t="s">
        <v>74</v>
      </c>
      <c r="H337" t="s">
        <v>39</v>
      </c>
      <c r="I337" t="s">
        <v>22</v>
      </c>
      <c r="J337" t="str">
        <f t="shared" si="20"/>
        <v>30-39</v>
      </c>
      <c r="K337" t="str">
        <f t="shared" si="21"/>
        <v>5-10 LPA</v>
      </c>
      <c r="L337" t="str">
        <f t="shared" si="22"/>
        <v>3-5 Years</v>
      </c>
      <c r="M337">
        <f t="shared" si="23"/>
        <v>0</v>
      </c>
    </row>
    <row r="338" spans="1:13" x14ac:dyDescent="0.25">
      <c r="A338" t="s">
        <v>690</v>
      </c>
      <c r="B338">
        <v>37</v>
      </c>
      <c r="C338">
        <v>888730</v>
      </c>
      <c r="D338">
        <v>5</v>
      </c>
      <c r="E338" t="s">
        <v>25</v>
      </c>
      <c r="F338">
        <v>4</v>
      </c>
      <c r="G338" t="s">
        <v>74</v>
      </c>
      <c r="H338" t="s">
        <v>85</v>
      </c>
      <c r="I338" t="s">
        <v>14</v>
      </c>
      <c r="J338" t="str">
        <f t="shared" si="20"/>
        <v>30-39</v>
      </c>
      <c r="K338" t="str">
        <f t="shared" si="21"/>
        <v>5-10 LPA</v>
      </c>
      <c r="L338" t="str">
        <f t="shared" si="22"/>
        <v>3-5 Years</v>
      </c>
      <c r="M338">
        <f t="shared" si="23"/>
        <v>0</v>
      </c>
    </row>
    <row r="339" spans="1:13" x14ac:dyDescent="0.25">
      <c r="A339" t="s">
        <v>691</v>
      </c>
      <c r="B339">
        <v>32</v>
      </c>
      <c r="C339">
        <v>998743</v>
      </c>
      <c r="D339">
        <v>0</v>
      </c>
      <c r="E339" t="s">
        <v>25</v>
      </c>
      <c r="F339">
        <v>2</v>
      </c>
      <c r="G339" t="s">
        <v>16</v>
      </c>
      <c r="H339" t="s">
        <v>61</v>
      </c>
      <c r="I339" t="s">
        <v>22</v>
      </c>
      <c r="J339" t="str">
        <f t="shared" si="20"/>
        <v>30-39</v>
      </c>
      <c r="K339" t="str">
        <f t="shared" si="21"/>
        <v>5-10 LPA</v>
      </c>
      <c r="L339" t="str">
        <f t="shared" si="22"/>
        <v>0-2 Years</v>
      </c>
      <c r="M339">
        <f t="shared" si="23"/>
        <v>0</v>
      </c>
    </row>
    <row r="340" spans="1:13" x14ac:dyDescent="0.25">
      <c r="A340" t="s">
        <v>693</v>
      </c>
      <c r="B340">
        <v>34</v>
      </c>
      <c r="C340">
        <v>1055042</v>
      </c>
      <c r="D340">
        <v>9</v>
      </c>
      <c r="E340" t="s">
        <v>25</v>
      </c>
      <c r="F340">
        <v>4</v>
      </c>
      <c r="G340" t="s">
        <v>54</v>
      </c>
      <c r="H340" t="s">
        <v>61</v>
      </c>
      <c r="I340" t="s">
        <v>14</v>
      </c>
      <c r="J340" t="str">
        <f t="shared" si="20"/>
        <v>30-39</v>
      </c>
      <c r="K340" t="str">
        <f t="shared" si="21"/>
        <v>10-15 LPA</v>
      </c>
      <c r="L340" t="str">
        <f t="shared" si="22"/>
        <v>6-10 Years</v>
      </c>
      <c r="M340">
        <f t="shared" si="23"/>
        <v>0</v>
      </c>
    </row>
    <row r="341" spans="1:13" x14ac:dyDescent="0.25">
      <c r="A341" t="s">
        <v>695</v>
      </c>
      <c r="B341">
        <v>45</v>
      </c>
      <c r="C341">
        <v>1665404</v>
      </c>
      <c r="D341">
        <v>12</v>
      </c>
      <c r="E341" t="s">
        <v>25</v>
      </c>
      <c r="F341">
        <v>3</v>
      </c>
      <c r="G341" t="s">
        <v>32</v>
      </c>
      <c r="H341" t="s">
        <v>31</v>
      </c>
      <c r="I341" t="s">
        <v>14</v>
      </c>
      <c r="J341" t="str">
        <f t="shared" si="20"/>
        <v>40-49</v>
      </c>
      <c r="K341" t="str">
        <f t="shared" si="21"/>
        <v>15+ LPA</v>
      </c>
      <c r="L341" t="str">
        <f t="shared" si="22"/>
        <v>10+ Years</v>
      </c>
      <c r="M341">
        <f t="shared" si="23"/>
        <v>0</v>
      </c>
    </row>
    <row r="342" spans="1:13" x14ac:dyDescent="0.25">
      <c r="A342" t="s">
        <v>697</v>
      </c>
      <c r="B342">
        <v>40</v>
      </c>
      <c r="C342">
        <v>821671</v>
      </c>
      <c r="D342">
        <v>7</v>
      </c>
      <c r="E342" t="s">
        <v>25</v>
      </c>
      <c r="F342">
        <v>3</v>
      </c>
      <c r="G342" t="s">
        <v>136</v>
      </c>
      <c r="H342" t="s">
        <v>23</v>
      </c>
      <c r="I342" t="s">
        <v>22</v>
      </c>
      <c r="J342" t="str">
        <f t="shared" si="20"/>
        <v>40-49</v>
      </c>
      <c r="K342" t="str">
        <f t="shared" si="21"/>
        <v>5-10 LPA</v>
      </c>
      <c r="L342" t="str">
        <f t="shared" si="22"/>
        <v>6-10 Years</v>
      </c>
      <c r="M342">
        <f t="shared" si="23"/>
        <v>0</v>
      </c>
    </row>
    <row r="343" spans="1:13" x14ac:dyDescent="0.25">
      <c r="A343" t="s">
        <v>698</v>
      </c>
      <c r="B343">
        <v>38</v>
      </c>
      <c r="C343">
        <v>1555654</v>
      </c>
      <c r="D343">
        <v>8</v>
      </c>
      <c r="E343" t="s">
        <v>25</v>
      </c>
      <c r="F343">
        <v>3</v>
      </c>
      <c r="G343" t="s">
        <v>46</v>
      </c>
      <c r="H343" t="s">
        <v>15</v>
      </c>
      <c r="I343" t="s">
        <v>14</v>
      </c>
      <c r="J343" t="str">
        <f t="shared" si="20"/>
        <v>30-39</v>
      </c>
      <c r="K343" t="str">
        <f t="shared" si="21"/>
        <v>15+ LPA</v>
      </c>
      <c r="L343" t="str">
        <f t="shared" si="22"/>
        <v>6-10 Years</v>
      </c>
      <c r="M343">
        <f t="shared" si="23"/>
        <v>0</v>
      </c>
    </row>
    <row r="344" spans="1:13" x14ac:dyDescent="0.25">
      <c r="A344" t="s">
        <v>700</v>
      </c>
      <c r="B344">
        <v>42</v>
      </c>
      <c r="C344">
        <v>1204363</v>
      </c>
      <c r="D344">
        <v>10</v>
      </c>
      <c r="E344" t="s">
        <v>19</v>
      </c>
      <c r="F344">
        <v>5</v>
      </c>
      <c r="G344" t="s">
        <v>16</v>
      </c>
      <c r="H344" t="s">
        <v>39</v>
      </c>
      <c r="I344" t="s">
        <v>14</v>
      </c>
      <c r="J344" t="str">
        <f t="shared" si="20"/>
        <v>40-49</v>
      </c>
      <c r="K344" t="str">
        <f t="shared" si="21"/>
        <v>10-15 LPA</v>
      </c>
      <c r="L344" t="str">
        <f t="shared" si="22"/>
        <v>6-10 Years</v>
      </c>
      <c r="M344">
        <f t="shared" si="23"/>
        <v>1</v>
      </c>
    </row>
    <row r="345" spans="1:13" x14ac:dyDescent="0.25">
      <c r="A345" t="s">
        <v>701</v>
      </c>
      <c r="B345">
        <v>21</v>
      </c>
      <c r="C345">
        <v>566819</v>
      </c>
      <c r="D345">
        <v>0</v>
      </c>
      <c r="E345" t="s">
        <v>25</v>
      </c>
      <c r="F345">
        <v>3</v>
      </c>
      <c r="G345" t="s">
        <v>54</v>
      </c>
      <c r="H345" t="s">
        <v>15</v>
      </c>
      <c r="I345" t="s">
        <v>14</v>
      </c>
      <c r="J345" t="str">
        <f t="shared" si="20"/>
        <v>21-24</v>
      </c>
      <c r="K345" t="str">
        <f t="shared" si="21"/>
        <v>5-10 LPA</v>
      </c>
      <c r="L345" t="str">
        <f t="shared" si="22"/>
        <v>0-2 Years</v>
      </c>
      <c r="M345">
        <f t="shared" si="23"/>
        <v>0</v>
      </c>
    </row>
    <row r="346" spans="1:13" x14ac:dyDescent="0.25">
      <c r="A346" t="s">
        <v>703</v>
      </c>
      <c r="B346">
        <v>26</v>
      </c>
      <c r="C346">
        <v>1197860</v>
      </c>
      <c r="D346">
        <v>0</v>
      </c>
      <c r="E346" t="s">
        <v>25</v>
      </c>
      <c r="F346">
        <v>5</v>
      </c>
      <c r="G346" t="s">
        <v>32</v>
      </c>
      <c r="H346" t="s">
        <v>15</v>
      </c>
      <c r="I346" t="s">
        <v>14</v>
      </c>
      <c r="J346" t="str">
        <f t="shared" si="20"/>
        <v>25-29</v>
      </c>
      <c r="K346" t="str">
        <f t="shared" si="21"/>
        <v>10-15 LPA</v>
      </c>
      <c r="L346" t="str">
        <f t="shared" si="22"/>
        <v>0-2 Years</v>
      </c>
      <c r="M346">
        <f t="shared" si="23"/>
        <v>0</v>
      </c>
    </row>
    <row r="347" spans="1:13" x14ac:dyDescent="0.25">
      <c r="A347" t="s">
        <v>705</v>
      </c>
      <c r="B347">
        <v>22</v>
      </c>
      <c r="C347">
        <v>1158051</v>
      </c>
      <c r="D347">
        <v>0</v>
      </c>
      <c r="E347" t="s">
        <v>19</v>
      </c>
      <c r="F347">
        <v>3</v>
      </c>
      <c r="G347" t="s">
        <v>32</v>
      </c>
      <c r="H347" t="s">
        <v>61</v>
      </c>
      <c r="I347" t="s">
        <v>14</v>
      </c>
      <c r="J347" t="str">
        <f t="shared" si="20"/>
        <v>21-24</v>
      </c>
      <c r="K347" t="str">
        <f t="shared" si="21"/>
        <v>10-15 LPA</v>
      </c>
      <c r="L347" t="str">
        <f t="shared" si="22"/>
        <v>0-2 Years</v>
      </c>
      <c r="M347">
        <f t="shared" si="23"/>
        <v>1</v>
      </c>
    </row>
    <row r="348" spans="1:13" x14ac:dyDescent="0.25">
      <c r="A348" t="s">
        <v>707</v>
      </c>
      <c r="B348">
        <v>40</v>
      </c>
      <c r="C348">
        <v>1756504</v>
      </c>
      <c r="D348">
        <v>13</v>
      </c>
      <c r="E348" t="s">
        <v>25</v>
      </c>
      <c r="F348">
        <v>4</v>
      </c>
      <c r="G348" t="s">
        <v>32</v>
      </c>
      <c r="H348" t="s">
        <v>45</v>
      </c>
      <c r="I348" t="s">
        <v>14</v>
      </c>
      <c r="J348" t="str">
        <f t="shared" si="20"/>
        <v>40-49</v>
      </c>
      <c r="K348" t="str">
        <f t="shared" si="21"/>
        <v>15+ LPA</v>
      </c>
      <c r="L348" t="str">
        <f t="shared" si="22"/>
        <v>10+ Years</v>
      </c>
      <c r="M348">
        <f t="shared" si="23"/>
        <v>0</v>
      </c>
    </row>
    <row r="349" spans="1:13" x14ac:dyDescent="0.25">
      <c r="A349" t="s">
        <v>708</v>
      </c>
      <c r="B349">
        <v>21</v>
      </c>
      <c r="C349">
        <v>600653</v>
      </c>
      <c r="D349">
        <v>0</v>
      </c>
      <c r="E349" t="s">
        <v>25</v>
      </c>
      <c r="F349">
        <v>3</v>
      </c>
      <c r="G349" t="s">
        <v>40</v>
      </c>
      <c r="H349" t="s">
        <v>45</v>
      </c>
      <c r="I349" t="s">
        <v>14</v>
      </c>
      <c r="J349" t="str">
        <f t="shared" si="20"/>
        <v>21-24</v>
      </c>
      <c r="K349" t="str">
        <f t="shared" si="21"/>
        <v>5-10 LPA</v>
      </c>
      <c r="L349" t="str">
        <f t="shared" si="22"/>
        <v>0-2 Years</v>
      </c>
      <c r="M349">
        <f t="shared" si="23"/>
        <v>0</v>
      </c>
    </row>
    <row r="350" spans="1:13" x14ac:dyDescent="0.25">
      <c r="A350" t="s">
        <v>710</v>
      </c>
      <c r="B350">
        <v>32</v>
      </c>
      <c r="C350">
        <v>715120</v>
      </c>
      <c r="D350">
        <v>5</v>
      </c>
      <c r="E350" t="s">
        <v>25</v>
      </c>
      <c r="F350">
        <v>4</v>
      </c>
      <c r="G350" t="s">
        <v>40</v>
      </c>
      <c r="H350" t="s">
        <v>61</v>
      </c>
      <c r="I350" t="s">
        <v>14</v>
      </c>
      <c r="J350" t="str">
        <f t="shared" si="20"/>
        <v>30-39</v>
      </c>
      <c r="K350" t="str">
        <f t="shared" si="21"/>
        <v>5-10 LPA</v>
      </c>
      <c r="L350" t="str">
        <f t="shared" si="22"/>
        <v>3-5 Years</v>
      </c>
      <c r="M350">
        <f t="shared" si="23"/>
        <v>0</v>
      </c>
    </row>
    <row r="351" spans="1:13" x14ac:dyDescent="0.25">
      <c r="A351" t="s">
        <v>712</v>
      </c>
      <c r="B351">
        <v>35</v>
      </c>
      <c r="C351">
        <v>1199308</v>
      </c>
      <c r="D351">
        <v>7</v>
      </c>
      <c r="E351" t="s">
        <v>25</v>
      </c>
      <c r="F351">
        <v>4</v>
      </c>
      <c r="G351" t="s">
        <v>16</v>
      </c>
      <c r="H351" t="s">
        <v>45</v>
      </c>
      <c r="I351" t="s">
        <v>22</v>
      </c>
      <c r="J351" t="str">
        <f t="shared" si="20"/>
        <v>30-39</v>
      </c>
      <c r="K351" t="str">
        <f t="shared" si="21"/>
        <v>10-15 LPA</v>
      </c>
      <c r="L351" t="str">
        <f t="shared" si="22"/>
        <v>6-10 Years</v>
      </c>
      <c r="M351">
        <f t="shared" si="23"/>
        <v>0</v>
      </c>
    </row>
    <row r="352" spans="1:13" x14ac:dyDescent="0.25">
      <c r="A352" t="s">
        <v>713</v>
      </c>
      <c r="B352">
        <v>43</v>
      </c>
      <c r="C352">
        <v>1503141</v>
      </c>
      <c r="D352">
        <v>10</v>
      </c>
      <c r="E352" t="s">
        <v>25</v>
      </c>
      <c r="F352">
        <v>3</v>
      </c>
      <c r="G352" t="s">
        <v>66</v>
      </c>
      <c r="H352" t="s">
        <v>23</v>
      </c>
      <c r="I352" t="s">
        <v>14</v>
      </c>
      <c r="J352" t="str">
        <f t="shared" si="20"/>
        <v>40-49</v>
      </c>
      <c r="K352" t="str">
        <f t="shared" si="21"/>
        <v>15+ LPA</v>
      </c>
      <c r="L352" t="str">
        <f t="shared" si="22"/>
        <v>6-10 Years</v>
      </c>
      <c r="M352">
        <f t="shared" si="23"/>
        <v>0</v>
      </c>
    </row>
    <row r="353" spans="1:13" x14ac:dyDescent="0.25">
      <c r="A353" t="s">
        <v>715</v>
      </c>
      <c r="B353">
        <v>41</v>
      </c>
      <c r="C353">
        <v>1023903</v>
      </c>
      <c r="D353">
        <v>11</v>
      </c>
      <c r="E353" t="s">
        <v>25</v>
      </c>
      <c r="F353">
        <v>3</v>
      </c>
      <c r="G353" t="s">
        <v>54</v>
      </c>
      <c r="H353" t="s">
        <v>85</v>
      </c>
      <c r="I353" t="s">
        <v>14</v>
      </c>
      <c r="J353" t="str">
        <f t="shared" si="20"/>
        <v>40-49</v>
      </c>
      <c r="K353" t="str">
        <f t="shared" si="21"/>
        <v>10-15 LPA</v>
      </c>
      <c r="L353" t="str">
        <f t="shared" si="22"/>
        <v>10+ Years</v>
      </c>
      <c r="M353">
        <f t="shared" si="23"/>
        <v>0</v>
      </c>
    </row>
    <row r="354" spans="1:13" x14ac:dyDescent="0.25">
      <c r="A354" t="s">
        <v>717</v>
      </c>
      <c r="B354">
        <v>43</v>
      </c>
      <c r="C354">
        <v>2054208</v>
      </c>
      <c r="D354">
        <v>11</v>
      </c>
      <c r="E354" t="s">
        <v>25</v>
      </c>
      <c r="F354">
        <v>4</v>
      </c>
      <c r="G354" t="s">
        <v>32</v>
      </c>
      <c r="H354" t="s">
        <v>78</v>
      </c>
      <c r="I354" t="s">
        <v>14</v>
      </c>
      <c r="J354" t="str">
        <f t="shared" si="20"/>
        <v>40-49</v>
      </c>
      <c r="K354" t="str">
        <f t="shared" si="21"/>
        <v>15+ LPA</v>
      </c>
      <c r="L354" t="str">
        <f t="shared" si="22"/>
        <v>10+ Years</v>
      </c>
      <c r="M354">
        <f t="shared" si="23"/>
        <v>0</v>
      </c>
    </row>
    <row r="355" spans="1:13" x14ac:dyDescent="0.25">
      <c r="A355" t="s">
        <v>718</v>
      </c>
      <c r="B355">
        <v>35</v>
      </c>
      <c r="C355">
        <v>943610</v>
      </c>
      <c r="D355">
        <v>9</v>
      </c>
      <c r="E355" t="s">
        <v>19</v>
      </c>
      <c r="F355">
        <v>3</v>
      </c>
      <c r="G355" t="s">
        <v>54</v>
      </c>
      <c r="H355" t="s">
        <v>50</v>
      </c>
      <c r="I355" t="s">
        <v>14</v>
      </c>
      <c r="J355" t="str">
        <f t="shared" si="20"/>
        <v>30-39</v>
      </c>
      <c r="K355" t="str">
        <f t="shared" si="21"/>
        <v>5-10 LPA</v>
      </c>
      <c r="L355" t="str">
        <f t="shared" si="22"/>
        <v>6-10 Years</v>
      </c>
      <c r="M355">
        <f t="shared" si="23"/>
        <v>1</v>
      </c>
    </row>
    <row r="356" spans="1:13" x14ac:dyDescent="0.25">
      <c r="A356" t="s">
        <v>719</v>
      </c>
      <c r="B356">
        <v>33</v>
      </c>
      <c r="C356">
        <v>1545431</v>
      </c>
      <c r="D356">
        <v>8</v>
      </c>
      <c r="E356" t="s">
        <v>25</v>
      </c>
      <c r="F356">
        <v>3</v>
      </c>
      <c r="G356" t="s">
        <v>32</v>
      </c>
      <c r="H356" t="s">
        <v>23</v>
      </c>
      <c r="I356" t="s">
        <v>14</v>
      </c>
      <c r="J356" t="str">
        <f t="shared" si="20"/>
        <v>30-39</v>
      </c>
      <c r="K356" t="str">
        <f t="shared" si="21"/>
        <v>15+ LPA</v>
      </c>
      <c r="L356" t="str">
        <f t="shared" si="22"/>
        <v>6-10 Years</v>
      </c>
      <c r="M356">
        <f t="shared" si="23"/>
        <v>0</v>
      </c>
    </row>
    <row r="357" spans="1:13" x14ac:dyDescent="0.25">
      <c r="A357" t="s">
        <v>721</v>
      </c>
      <c r="B357">
        <v>30</v>
      </c>
      <c r="C357">
        <v>612362</v>
      </c>
      <c r="D357">
        <v>0</v>
      </c>
      <c r="E357" t="s">
        <v>25</v>
      </c>
      <c r="F357">
        <v>3</v>
      </c>
      <c r="G357" t="s">
        <v>54</v>
      </c>
      <c r="H357" t="s">
        <v>78</v>
      </c>
      <c r="I357" t="s">
        <v>14</v>
      </c>
      <c r="J357" t="str">
        <f t="shared" si="20"/>
        <v>30-39</v>
      </c>
      <c r="K357" t="str">
        <f t="shared" si="21"/>
        <v>5-10 LPA</v>
      </c>
      <c r="L357" t="str">
        <f t="shared" si="22"/>
        <v>0-2 Years</v>
      </c>
      <c r="M357">
        <f t="shared" si="23"/>
        <v>0</v>
      </c>
    </row>
    <row r="358" spans="1:13" x14ac:dyDescent="0.25">
      <c r="A358" t="s">
        <v>723</v>
      </c>
      <c r="B358">
        <v>28</v>
      </c>
      <c r="C358">
        <v>587865</v>
      </c>
      <c r="D358">
        <v>0</v>
      </c>
      <c r="E358" t="s">
        <v>25</v>
      </c>
      <c r="F358">
        <v>3</v>
      </c>
      <c r="G358" t="s">
        <v>66</v>
      </c>
      <c r="H358" t="s">
        <v>23</v>
      </c>
      <c r="I358" t="s">
        <v>22</v>
      </c>
      <c r="J358" t="str">
        <f t="shared" si="20"/>
        <v>25-29</v>
      </c>
      <c r="K358" t="str">
        <f t="shared" si="21"/>
        <v>5-10 LPA</v>
      </c>
      <c r="L358" t="str">
        <f t="shared" si="22"/>
        <v>0-2 Years</v>
      </c>
      <c r="M358">
        <f t="shared" si="23"/>
        <v>0</v>
      </c>
    </row>
    <row r="359" spans="1:13" x14ac:dyDescent="0.25">
      <c r="A359" t="s">
        <v>724</v>
      </c>
      <c r="B359">
        <v>32</v>
      </c>
      <c r="C359">
        <v>1762426</v>
      </c>
      <c r="D359">
        <v>4</v>
      </c>
      <c r="E359" t="s">
        <v>19</v>
      </c>
      <c r="F359">
        <v>2</v>
      </c>
      <c r="G359" t="s">
        <v>32</v>
      </c>
      <c r="H359" t="s">
        <v>31</v>
      </c>
      <c r="I359" t="s">
        <v>14</v>
      </c>
      <c r="J359" t="str">
        <f t="shared" si="20"/>
        <v>30-39</v>
      </c>
      <c r="K359" t="str">
        <f t="shared" si="21"/>
        <v>15+ LPA</v>
      </c>
      <c r="L359" t="str">
        <f t="shared" si="22"/>
        <v>3-5 Years</v>
      </c>
      <c r="M359">
        <f t="shared" si="23"/>
        <v>1</v>
      </c>
    </row>
    <row r="360" spans="1:13" x14ac:dyDescent="0.25">
      <c r="A360" t="s">
        <v>726</v>
      </c>
      <c r="B360">
        <v>35</v>
      </c>
      <c r="C360">
        <v>592507</v>
      </c>
      <c r="D360">
        <v>4</v>
      </c>
      <c r="E360" t="s">
        <v>25</v>
      </c>
      <c r="F360">
        <v>3</v>
      </c>
      <c r="G360" t="s">
        <v>74</v>
      </c>
      <c r="H360" t="s">
        <v>85</v>
      </c>
      <c r="I360" t="s">
        <v>14</v>
      </c>
      <c r="J360" t="str">
        <f t="shared" si="20"/>
        <v>30-39</v>
      </c>
      <c r="K360" t="str">
        <f t="shared" si="21"/>
        <v>5-10 LPA</v>
      </c>
      <c r="L360" t="str">
        <f t="shared" si="22"/>
        <v>3-5 Years</v>
      </c>
      <c r="M360">
        <f t="shared" si="23"/>
        <v>0</v>
      </c>
    </row>
    <row r="361" spans="1:13" x14ac:dyDescent="0.25">
      <c r="A361" t="s">
        <v>727</v>
      </c>
      <c r="B361">
        <v>34</v>
      </c>
      <c r="C361">
        <v>1397021</v>
      </c>
      <c r="D361">
        <v>13</v>
      </c>
      <c r="E361" t="s">
        <v>25</v>
      </c>
      <c r="F361">
        <v>4</v>
      </c>
      <c r="G361" t="s">
        <v>136</v>
      </c>
      <c r="H361" t="s">
        <v>15</v>
      </c>
      <c r="I361" t="s">
        <v>14</v>
      </c>
      <c r="J361" t="str">
        <f t="shared" si="20"/>
        <v>30-39</v>
      </c>
      <c r="K361" t="str">
        <f t="shared" si="21"/>
        <v>10-15 LPA</v>
      </c>
      <c r="L361" t="str">
        <f t="shared" si="22"/>
        <v>10+ Years</v>
      </c>
      <c r="M361">
        <f t="shared" si="23"/>
        <v>0</v>
      </c>
    </row>
    <row r="362" spans="1:13" x14ac:dyDescent="0.25">
      <c r="A362" t="s">
        <v>729</v>
      </c>
      <c r="B362">
        <v>23</v>
      </c>
      <c r="C362">
        <v>1408338</v>
      </c>
      <c r="D362">
        <v>0</v>
      </c>
      <c r="E362" t="s">
        <v>19</v>
      </c>
      <c r="F362">
        <v>3</v>
      </c>
      <c r="G362" t="s">
        <v>32</v>
      </c>
      <c r="H362" t="s">
        <v>85</v>
      </c>
      <c r="I362" t="s">
        <v>14</v>
      </c>
      <c r="J362" t="str">
        <f t="shared" si="20"/>
        <v>21-24</v>
      </c>
      <c r="K362" t="str">
        <f t="shared" si="21"/>
        <v>10-15 LPA</v>
      </c>
      <c r="L362" t="str">
        <f t="shared" si="22"/>
        <v>0-2 Years</v>
      </c>
      <c r="M362">
        <f t="shared" si="23"/>
        <v>1</v>
      </c>
    </row>
    <row r="363" spans="1:13" x14ac:dyDescent="0.25">
      <c r="A363" t="s">
        <v>730</v>
      </c>
      <c r="B363">
        <v>21</v>
      </c>
      <c r="C363">
        <v>573441</v>
      </c>
      <c r="D363">
        <v>0</v>
      </c>
      <c r="E363" t="s">
        <v>25</v>
      </c>
      <c r="F363">
        <v>3</v>
      </c>
      <c r="G363" t="s">
        <v>74</v>
      </c>
      <c r="H363" t="s">
        <v>61</v>
      </c>
      <c r="I363" t="s">
        <v>22</v>
      </c>
      <c r="J363" t="str">
        <f t="shared" si="20"/>
        <v>21-24</v>
      </c>
      <c r="K363" t="str">
        <f t="shared" si="21"/>
        <v>5-10 LPA</v>
      </c>
      <c r="L363" t="str">
        <f t="shared" si="22"/>
        <v>0-2 Years</v>
      </c>
      <c r="M363">
        <f t="shared" si="23"/>
        <v>0</v>
      </c>
    </row>
    <row r="364" spans="1:13" x14ac:dyDescent="0.25">
      <c r="A364" t="s">
        <v>732</v>
      </c>
      <c r="B364">
        <v>25</v>
      </c>
      <c r="C364">
        <v>695089</v>
      </c>
      <c r="D364">
        <v>3</v>
      </c>
      <c r="E364" t="s">
        <v>19</v>
      </c>
      <c r="F364">
        <v>2</v>
      </c>
      <c r="G364" t="s">
        <v>54</v>
      </c>
      <c r="H364" t="s">
        <v>39</v>
      </c>
      <c r="I364" t="s">
        <v>14</v>
      </c>
      <c r="J364" t="str">
        <f t="shared" si="20"/>
        <v>25-29</v>
      </c>
      <c r="K364" t="str">
        <f t="shared" si="21"/>
        <v>5-10 LPA</v>
      </c>
      <c r="L364" t="str">
        <f t="shared" si="22"/>
        <v>3-5 Years</v>
      </c>
      <c r="M364">
        <f t="shared" si="23"/>
        <v>1</v>
      </c>
    </row>
    <row r="365" spans="1:13" x14ac:dyDescent="0.25">
      <c r="A365" t="s">
        <v>734</v>
      </c>
      <c r="B365">
        <v>44</v>
      </c>
      <c r="C365">
        <v>1376734</v>
      </c>
      <c r="D365">
        <v>10</v>
      </c>
      <c r="E365" t="s">
        <v>25</v>
      </c>
      <c r="F365">
        <v>3</v>
      </c>
      <c r="G365" t="s">
        <v>16</v>
      </c>
      <c r="H365" t="s">
        <v>61</v>
      </c>
      <c r="I365" t="s">
        <v>14</v>
      </c>
      <c r="J365" t="str">
        <f t="shared" si="20"/>
        <v>40-49</v>
      </c>
      <c r="K365" t="str">
        <f t="shared" si="21"/>
        <v>10-15 LPA</v>
      </c>
      <c r="L365" t="str">
        <f t="shared" si="22"/>
        <v>6-10 Years</v>
      </c>
      <c r="M365">
        <f t="shared" si="23"/>
        <v>0</v>
      </c>
    </row>
    <row r="366" spans="1:13" x14ac:dyDescent="0.25">
      <c r="A366" t="s">
        <v>736</v>
      </c>
      <c r="B366">
        <v>30</v>
      </c>
      <c r="C366">
        <v>645129</v>
      </c>
      <c r="D366">
        <v>3</v>
      </c>
      <c r="E366" t="s">
        <v>25</v>
      </c>
      <c r="F366">
        <v>3</v>
      </c>
      <c r="G366" t="s">
        <v>40</v>
      </c>
      <c r="H366" t="s">
        <v>15</v>
      </c>
      <c r="I366" t="s">
        <v>14</v>
      </c>
      <c r="J366" t="str">
        <f t="shared" si="20"/>
        <v>30-39</v>
      </c>
      <c r="K366" t="str">
        <f t="shared" si="21"/>
        <v>5-10 LPA</v>
      </c>
      <c r="L366" t="str">
        <f t="shared" si="22"/>
        <v>3-5 Years</v>
      </c>
      <c r="M366">
        <f t="shared" si="23"/>
        <v>0</v>
      </c>
    </row>
    <row r="367" spans="1:13" x14ac:dyDescent="0.25">
      <c r="A367" t="s">
        <v>737</v>
      </c>
      <c r="B367">
        <v>35</v>
      </c>
      <c r="C367">
        <v>1495065</v>
      </c>
      <c r="D367">
        <v>13</v>
      </c>
      <c r="E367" t="s">
        <v>25</v>
      </c>
      <c r="F367">
        <v>3</v>
      </c>
      <c r="G367" t="s">
        <v>54</v>
      </c>
      <c r="H367" t="s">
        <v>31</v>
      </c>
      <c r="I367" t="s">
        <v>14</v>
      </c>
      <c r="J367" t="str">
        <f t="shared" si="20"/>
        <v>30-39</v>
      </c>
      <c r="K367" t="str">
        <f t="shared" si="21"/>
        <v>10-15 LPA</v>
      </c>
      <c r="L367" t="str">
        <f t="shared" si="22"/>
        <v>10+ Years</v>
      </c>
      <c r="M367">
        <f t="shared" si="23"/>
        <v>0</v>
      </c>
    </row>
    <row r="368" spans="1:13" x14ac:dyDescent="0.25">
      <c r="A368" t="s">
        <v>739</v>
      </c>
      <c r="B368">
        <v>35</v>
      </c>
      <c r="C368">
        <v>1469784</v>
      </c>
      <c r="D368">
        <v>14</v>
      </c>
      <c r="E368" t="s">
        <v>25</v>
      </c>
      <c r="F368">
        <v>2</v>
      </c>
      <c r="G368" t="s">
        <v>16</v>
      </c>
      <c r="H368" t="s">
        <v>61</v>
      </c>
      <c r="I368" t="s">
        <v>22</v>
      </c>
      <c r="J368" t="str">
        <f t="shared" si="20"/>
        <v>30-39</v>
      </c>
      <c r="K368" t="str">
        <f t="shared" si="21"/>
        <v>10-15 LPA</v>
      </c>
      <c r="L368" t="str">
        <f t="shared" si="22"/>
        <v>10+ Years</v>
      </c>
      <c r="M368">
        <f t="shared" si="23"/>
        <v>0</v>
      </c>
    </row>
    <row r="369" spans="1:13" x14ac:dyDescent="0.25">
      <c r="A369" t="s">
        <v>740</v>
      </c>
      <c r="B369">
        <v>26</v>
      </c>
      <c r="C369">
        <v>773884</v>
      </c>
      <c r="D369">
        <v>5</v>
      </c>
      <c r="E369" t="s">
        <v>19</v>
      </c>
      <c r="F369">
        <v>3</v>
      </c>
      <c r="G369" t="s">
        <v>40</v>
      </c>
      <c r="H369" t="s">
        <v>15</v>
      </c>
      <c r="I369" t="s">
        <v>14</v>
      </c>
      <c r="J369" t="str">
        <f t="shared" si="20"/>
        <v>25-29</v>
      </c>
      <c r="K369" t="str">
        <f t="shared" si="21"/>
        <v>5-10 LPA</v>
      </c>
      <c r="L369" t="str">
        <f t="shared" si="22"/>
        <v>3-5 Years</v>
      </c>
      <c r="M369">
        <f t="shared" si="23"/>
        <v>1</v>
      </c>
    </row>
    <row r="370" spans="1:13" x14ac:dyDescent="0.25">
      <c r="A370" t="s">
        <v>741</v>
      </c>
      <c r="B370">
        <v>31</v>
      </c>
      <c r="C370">
        <v>1006323</v>
      </c>
      <c r="D370">
        <v>3</v>
      </c>
      <c r="E370" t="s">
        <v>25</v>
      </c>
      <c r="F370">
        <v>1</v>
      </c>
      <c r="G370" t="s">
        <v>32</v>
      </c>
      <c r="H370" t="s">
        <v>39</v>
      </c>
      <c r="I370" t="s">
        <v>22</v>
      </c>
      <c r="J370" t="str">
        <f t="shared" si="20"/>
        <v>30-39</v>
      </c>
      <c r="K370" t="str">
        <f t="shared" si="21"/>
        <v>10-15 LPA</v>
      </c>
      <c r="L370" t="str">
        <f t="shared" si="22"/>
        <v>3-5 Years</v>
      </c>
      <c r="M370">
        <f t="shared" si="23"/>
        <v>0</v>
      </c>
    </row>
    <row r="371" spans="1:13" x14ac:dyDescent="0.25">
      <c r="A371" t="s">
        <v>743</v>
      </c>
      <c r="B371">
        <v>37</v>
      </c>
      <c r="C371">
        <v>1117024</v>
      </c>
      <c r="D371">
        <v>9</v>
      </c>
      <c r="E371" t="s">
        <v>25</v>
      </c>
      <c r="F371">
        <v>3</v>
      </c>
      <c r="G371" t="s">
        <v>74</v>
      </c>
      <c r="H371" t="s">
        <v>31</v>
      </c>
      <c r="I371" t="s">
        <v>14</v>
      </c>
      <c r="J371" t="str">
        <f t="shared" si="20"/>
        <v>30-39</v>
      </c>
      <c r="K371" t="str">
        <f t="shared" si="21"/>
        <v>10-15 LPA</v>
      </c>
      <c r="L371" t="str">
        <f t="shared" si="22"/>
        <v>6-10 Years</v>
      </c>
      <c r="M371">
        <f t="shared" si="23"/>
        <v>0</v>
      </c>
    </row>
    <row r="372" spans="1:13" x14ac:dyDescent="0.25">
      <c r="A372" t="s">
        <v>745</v>
      </c>
      <c r="B372">
        <v>34</v>
      </c>
      <c r="C372">
        <v>683387</v>
      </c>
      <c r="D372">
        <v>6</v>
      </c>
      <c r="E372" t="s">
        <v>25</v>
      </c>
      <c r="F372">
        <v>4</v>
      </c>
      <c r="G372" t="s">
        <v>74</v>
      </c>
      <c r="H372" t="s">
        <v>50</v>
      </c>
      <c r="I372" t="s">
        <v>14</v>
      </c>
      <c r="J372" t="str">
        <f t="shared" si="20"/>
        <v>30-39</v>
      </c>
      <c r="K372" t="str">
        <f t="shared" si="21"/>
        <v>5-10 LPA</v>
      </c>
      <c r="L372" t="str">
        <f t="shared" si="22"/>
        <v>6-10 Years</v>
      </c>
      <c r="M372">
        <f t="shared" si="23"/>
        <v>0</v>
      </c>
    </row>
    <row r="373" spans="1:13" x14ac:dyDescent="0.25">
      <c r="A373" t="s">
        <v>747</v>
      </c>
      <c r="B373">
        <v>27</v>
      </c>
      <c r="C373">
        <v>1197779</v>
      </c>
      <c r="D373">
        <v>5</v>
      </c>
      <c r="E373" t="s">
        <v>19</v>
      </c>
      <c r="F373">
        <v>3</v>
      </c>
      <c r="G373" t="s">
        <v>46</v>
      </c>
      <c r="H373" t="s">
        <v>85</v>
      </c>
      <c r="I373" t="s">
        <v>14</v>
      </c>
      <c r="J373" t="str">
        <f t="shared" si="20"/>
        <v>25-29</v>
      </c>
      <c r="K373" t="str">
        <f t="shared" si="21"/>
        <v>10-15 LPA</v>
      </c>
      <c r="L373" t="str">
        <f t="shared" si="22"/>
        <v>3-5 Years</v>
      </c>
      <c r="M373">
        <f t="shared" si="23"/>
        <v>1</v>
      </c>
    </row>
    <row r="374" spans="1:13" x14ac:dyDescent="0.25">
      <c r="A374" t="s">
        <v>748</v>
      </c>
      <c r="B374">
        <v>29</v>
      </c>
      <c r="C374">
        <v>1507991</v>
      </c>
      <c r="D374">
        <v>8</v>
      </c>
      <c r="E374" t="s">
        <v>25</v>
      </c>
      <c r="F374">
        <v>3</v>
      </c>
      <c r="G374" t="s">
        <v>46</v>
      </c>
      <c r="H374" t="s">
        <v>78</v>
      </c>
      <c r="I374" t="s">
        <v>14</v>
      </c>
      <c r="J374" t="str">
        <f t="shared" si="20"/>
        <v>25-29</v>
      </c>
      <c r="K374" t="str">
        <f t="shared" si="21"/>
        <v>15+ LPA</v>
      </c>
      <c r="L374" t="str">
        <f t="shared" si="22"/>
        <v>6-10 Years</v>
      </c>
      <c r="M374">
        <f t="shared" si="23"/>
        <v>0</v>
      </c>
    </row>
    <row r="375" spans="1:13" x14ac:dyDescent="0.25">
      <c r="A375" t="s">
        <v>749</v>
      </c>
      <c r="B375">
        <v>27</v>
      </c>
      <c r="C375">
        <v>466499</v>
      </c>
      <c r="D375">
        <v>1</v>
      </c>
      <c r="E375" t="s">
        <v>19</v>
      </c>
      <c r="F375">
        <v>3</v>
      </c>
      <c r="G375" t="s">
        <v>54</v>
      </c>
      <c r="H375" t="s">
        <v>50</v>
      </c>
      <c r="I375" t="s">
        <v>14</v>
      </c>
      <c r="J375" t="str">
        <f t="shared" si="20"/>
        <v>25-29</v>
      </c>
      <c r="K375" t="str">
        <f t="shared" si="21"/>
        <v>Below 5 LPA</v>
      </c>
      <c r="L375" t="str">
        <f t="shared" si="22"/>
        <v>0-2 Years</v>
      </c>
      <c r="M375">
        <f t="shared" si="23"/>
        <v>1</v>
      </c>
    </row>
    <row r="376" spans="1:13" x14ac:dyDescent="0.25">
      <c r="A376" t="s">
        <v>750</v>
      </c>
      <c r="B376">
        <v>30</v>
      </c>
      <c r="C376">
        <v>1371168</v>
      </c>
      <c r="D376">
        <v>9</v>
      </c>
      <c r="E376" t="s">
        <v>25</v>
      </c>
      <c r="F376">
        <v>2</v>
      </c>
      <c r="G376" t="s">
        <v>66</v>
      </c>
      <c r="H376" t="s">
        <v>31</v>
      </c>
      <c r="I376" t="s">
        <v>14</v>
      </c>
      <c r="J376" t="str">
        <f t="shared" si="20"/>
        <v>30-39</v>
      </c>
      <c r="K376" t="str">
        <f t="shared" si="21"/>
        <v>10-15 LPA</v>
      </c>
      <c r="L376" t="str">
        <f t="shared" si="22"/>
        <v>6-10 Years</v>
      </c>
      <c r="M376">
        <f t="shared" si="23"/>
        <v>0</v>
      </c>
    </row>
    <row r="377" spans="1:13" x14ac:dyDescent="0.25">
      <c r="A377" t="s">
        <v>752</v>
      </c>
      <c r="B377">
        <v>42</v>
      </c>
      <c r="C377">
        <v>1401015</v>
      </c>
      <c r="D377">
        <v>13</v>
      </c>
      <c r="E377" t="s">
        <v>25</v>
      </c>
      <c r="F377">
        <v>2</v>
      </c>
      <c r="G377" t="s">
        <v>54</v>
      </c>
      <c r="H377" t="s">
        <v>15</v>
      </c>
      <c r="I377" t="s">
        <v>22</v>
      </c>
      <c r="J377" t="str">
        <f t="shared" si="20"/>
        <v>40-49</v>
      </c>
      <c r="K377" t="str">
        <f t="shared" si="21"/>
        <v>10-15 LPA</v>
      </c>
      <c r="L377" t="str">
        <f t="shared" si="22"/>
        <v>10+ Years</v>
      </c>
      <c r="M377">
        <f t="shared" si="23"/>
        <v>0</v>
      </c>
    </row>
    <row r="378" spans="1:13" x14ac:dyDescent="0.25">
      <c r="A378" t="s">
        <v>753</v>
      </c>
      <c r="B378">
        <v>26</v>
      </c>
      <c r="C378">
        <v>662040</v>
      </c>
      <c r="D378">
        <v>4</v>
      </c>
      <c r="E378" t="s">
        <v>25</v>
      </c>
      <c r="F378">
        <v>4</v>
      </c>
      <c r="G378" t="s">
        <v>40</v>
      </c>
      <c r="H378" t="s">
        <v>39</v>
      </c>
      <c r="I378" t="s">
        <v>22</v>
      </c>
      <c r="J378" t="str">
        <f t="shared" si="20"/>
        <v>25-29</v>
      </c>
      <c r="K378" t="str">
        <f t="shared" si="21"/>
        <v>5-10 LPA</v>
      </c>
      <c r="L378" t="str">
        <f t="shared" si="22"/>
        <v>3-5 Years</v>
      </c>
      <c r="M378">
        <f t="shared" si="23"/>
        <v>0</v>
      </c>
    </row>
    <row r="379" spans="1:13" x14ac:dyDescent="0.25">
      <c r="A379" t="s">
        <v>754</v>
      </c>
      <c r="B379">
        <v>33</v>
      </c>
      <c r="C379">
        <v>1299717</v>
      </c>
      <c r="D379">
        <v>7</v>
      </c>
      <c r="E379" t="s">
        <v>25</v>
      </c>
      <c r="F379">
        <v>3</v>
      </c>
      <c r="G379" t="s">
        <v>32</v>
      </c>
      <c r="H379" t="s">
        <v>78</v>
      </c>
      <c r="I379" t="s">
        <v>22</v>
      </c>
      <c r="J379" t="str">
        <f t="shared" si="20"/>
        <v>30-39</v>
      </c>
      <c r="K379" t="str">
        <f t="shared" si="21"/>
        <v>10-15 LPA</v>
      </c>
      <c r="L379" t="str">
        <f t="shared" si="22"/>
        <v>6-10 Years</v>
      </c>
      <c r="M379">
        <f t="shared" si="23"/>
        <v>0</v>
      </c>
    </row>
    <row r="380" spans="1:13" x14ac:dyDescent="0.25">
      <c r="A380" t="s">
        <v>756</v>
      </c>
      <c r="B380">
        <v>27</v>
      </c>
      <c r="C380">
        <v>576558</v>
      </c>
      <c r="D380">
        <v>0</v>
      </c>
      <c r="E380" t="s">
        <v>19</v>
      </c>
      <c r="F380">
        <v>3</v>
      </c>
      <c r="G380" t="s">
        <v>40</v>
      </c>
      <c r="H380" t="s">
        <v>15</v>
      </c>
      <c r="I380" t="s">
        <v>14</v>
      </c>
      <c r="J380" t="str">
        <f t="shared" si="20"/>
        <v>25-29</v>
      </c>
      <c r="K380" t="str">
        <f t="shared" si="21"/>
        <v>5-10 LPA</v>
      </c>
      <c r="L380" t="str">
        <f t="shared" si="22"/>
        <v>0-2 Years</v>
      </c>
      <c r="M380">
        <f t="shared" si="23"/>
        <v>1</v>
      </c>
    </row>
    <row r="381" spans="1:13" x14ac:dyDescent="0.25">
      <c r="A381" t="s">
        <v>758</v>
      </c>
      <c r="B381">
        <v>30</v>
      </c>
      <c r="C381">
        <v>821735</v>
      </c>
      <c r="D381">
        <v>2</v>
      </c>
      <c r="E381" t="s">
        <v>25</v>
      </c>
      <c r="F381">
        <v>4</v>
      </c>
      <c r="G381" t="s">
        <v>74</v>
      </c>
      <c r="H381" t="s">
        <v>39</v>
      </c>
      <c r="I381" t="s">
        <v>14</v>
      </c>
      <c r="J381" t="str">
        <f t="shared" si="20"/>
        <v>30-39</v>
      </c>
      <c r="K381" t="str">
        <f t="shared" si="21"/>
        <v>5-10 LPA</v>
      </c>
      <c r="L381" t="str">
        <f t="shared" si="22"/>
        <v>0-2 Years</v>
      </c>
      <c r="M381">
        <f t="shared" si="23"/>
        <v>0</v>
      </c>
    </row>
    <row r="382" spans="1:13" x14ac:dyDescent="0.25">
      <c r="A382" t="s">
        <v>759</v>
      </c>
      <c r="B382">
        <v>32</v>
      </c>
      <c r="C382">
        <v>1263933</v>
      </c>
      <c r="D382">
        <v>5</v>
      </c>
      <c r="E382" t="s">
        <v>25</v>
      </c>
      <c r="F382">
        <v>3</v>
      </c>
      <c r="G382" t="s">
        <v>32</v>
      </c>
      <c r="H382" t="s">
        <v>45</v>
      </c>
      <c r="I382" t="s">
        <v>22</v>
      </c>
      <c r="J382" t="str">
        <f t="shared" si="20"/>
        <v>30-39</v>
      </c>
      <c r="K382" t="str">
        <f t="shared" si="21"/>
        <v>10-15 LPA</v>
      </c>
      <c r="L382" t="str">
        <f t="shared" si="22"/>
        <v>3-5 Years</v>
      </c>
      <c r="M382">
        <f t="shared" si="23"/>
        <v>0</v>
      </c>
    </row>
    <row r="383" spans="1:13" x14ac:dyDescent="0.25">
      <c r="A383" t="s">
        <v>761</v>
      </c>
      <c r="B383">
        <v>27</v>
      </c>
      <c r="C383">
        <v>739072</v>
      </c>
      <c r="D383">
        <v>5</v>
      </c>
      <c r="E383" t="s">
        <v>19</v>
      </c>
      <c r="F383">
        <v>4</v>
      </c>
      <c r="G383" t="s">
        <v>74</v>
      </c>
      <c r="H383" t="s">
        <v>31</v>
      </c>
      <c r="I383" t="s">
        <v>22</v>
      </c>
      <c r="J383" t="str">
        <f t="shared" si="20"/>
        <v>25-29</v>
      </c>
      <c r="K383" t="str">
        <f t="shared" si="21"/>
        <v>5-10 LPA</v>
      </c>
      <c r="L383" t="str">
        <f t="shared" si="22"/>
        <v>3-5 Years</v>
      </c>
      <c r="M383">
        <f t="shared" si="23"/>
        <v>1</v>
      </c>
    </row>
    <row r="384" spans="1:13" x14ac:dyDescent="0.25">
      <c r="A384" t="s">
        <v>763</v>
      </c>
      <c r="B384">
        <v>25</v>
      </c>
      <c r="C384">
        <v>1058062</v>
      </c>
      <c r="D384">
        <v>4</v>
      </c>
      <c r="E384" t="s">
        <v>19</v>
      </c>
      <c r="F384">
        <v>3</v>
      </c>
      <c r="G384" t="s">
        <v>136</v>
      </c>
      <c r="H384" t="s">
        <v>31</v>
      </c>
      <c r="I384" t="s">
        <v>14</v>
      </c>
      <c r="J384" t="str">
        <f t="shared" si="20"/>
        <v>25-29</v>
      </c>
      <c r="K384" t="str">
        <f t="shared" si="21"/>
        <v>10-15 LPA</v>
      </c>
      <c r="L384" t="str">
        <f t="shared" si="22"/>
        <v>3-5 Years</v>
      </c>
      <c r="M384">
        <f t="shared" si="23"/>
        <v>1</v>
      </c>
    </row>
    <row r="385" spans="1:13" x14ac:dyDescent="0.25">
      <c r="A385" t="s">
        <v>764</v>
      </c>
      <c r="B385">
        <v>35</v>
      </c>
      <c r="C385">
        <v>807815</v>
      </c>
      <c r="D385">
        <v>9</v>
      </c>
      <c r="E385" t="s">
        <v>25</v>
      </c>
      <c r="F385">
        <v>4</v>
      </c>
      <c r="G385" t="s">
        <v>74</v>
      </c>
      <c r="H385" t="s">
        <v>78</v>
      </c>
      <c r="I385" t="s">
        <v>22</v>
      </c>
      <c r="J385" t="str">
        <f t="shared" si="20"/>
        <v>30-39</v>
      </c>
      <c r="K385" t="str">
        <f t="shared" si="21"/>
        <v>5-10 LPA</v>
      </c>
      <c r="L385" t="str">
        <f t="shared" si="22"/>
        <v>6-10 Years</v>
      </c>
      <c r="M385">
        <f t="shared" si="23"/>
        <v>0</v>
      </c>
    </row>
    <row r="386" spans="1:13" x14ac:dyDescent="0.25">
      <c r="A386" t="s">
        <v>766</v>
      </c>
      <c r="B386">
        <v>28</v>
      </c>
      <c r="C386">
        <v>1229525</v>
      </c>
      <c r="D386">
        <v>5</v>
      </c>
      <c r="E386" t="s">
        <v>25</v>
      </c>
      <c r="F386">
        <v>4</v>
      </c>
      <c r="G386" t="s">
        <v>32</v>
      </c>
      <c r="H386" t="s">
        <v>85</v>
      </c>
      <c r="I386" t="s">
        <v>22</v>
      </c>
      <c r="J386" t="str">
        <f t="shared" si="20"/>
        <v>25-29</v>
      </c>
      <c r="K386" t="str">
        <f t="shared" si="21"/>
        <v>10-15 LPA</v>
      </c>
      <c r="L386" t="str">
        <f t="shared" si="22"/>
        <v>3-5 Years</v>
      </c>
      <c r="M386">
        <f t="shared" si="23"/>
        <v>0</v>
      </c>
    </row>
    <row r="387" spans="1:13" x14ac:dyDescent="0.25">
      <c r="A387" t="s">
        <v>768</v>
      </c>
      <c r="B387">
        <v>26</v>
      </c>
      <c r="C387">
        <v>628032</v>
      </c>
      <c r="D387">
        <v>0</v>
      </c>
      <c r="E387" t="s">
        <v>25</v>
      </c>
      <c r="F387">
        <v>4</v>
      </c>
      <c r="G387" t="s">
        <v>66</v>
      </c>
      <c r="H387" t="s">
        <v>50</v>
      </c>
      <c r="I387" t="s">
        <v>22</v>
      </c>
      <c r="J387" t="str">
        <f t="shared" ref="J387:J450" si="24">IF(B387&lt;25,"21-24",
IF(B387&lt;30,"25-29",
IF(B387&lt;40,"30-39",
IF(B387&lt;50,"40-49","50+"))))</f>
        <v>25-29</v>
      </c>
      <c r="K387" t="str">
        <f t="shared" ref="K387:K450" si="25">IF(C387&lt;500000,"Below 5 LPA",
IF(C387&lt;1000000,"5-10 LPA",
IF(C387&lt;1500000,"10-15 LPA","15+ LPA")))</f>
        <v>5-10 LPA</v>
      </c>
      <c r="L387" t="str">
        <f t="shared" ref="L387:L450" si="26">IF(D387&lt;=2,"0-2 Years",
IF(D387&lt;=5,"3-5 Years",
IF(D387&lt;=10,"6-10 Years","10+ Years")))</f>
        <v>0-2 Years</v>
      </c>
      <c r="M387">
        <f t="shared" ref="M387:M450" si="27">IF(E387="Yes",1,0)</f>
        <v>0</v>
      </c>
    </row>
    <row r="388" spans="1:13" x14ac:dyDescent="0.25">
      <c r="A388" t="s">
        <v>770</v>
      </c>
      <c r="B388">
        <v>23</v>
      </c>
      <c r="C388">
        <v>960141</v>
      </c>
      <c r="D388">
        <v>2</v>
      </c>
      <c r="E388" t="s">
        <v>25</v>
      </c>
      <c r="F388">
        <v>1</v>
      </c>
      <c r="G388" t="s">
        <v>66</v>
      </c>
      <c r="H388" t="s">
        <v>23</v>
      </c>
      <c r="I388" t="s">
        <v>14</v>
      </c>
      <c r="J388" t="str">
        <f t="shared" si="24"/>
        <v>21-24</v>
      </c>
      <c r="K388" t="str">
        <f t="shared" si="25"/>
        <v>5-10 LPA</v>
      </c>
      <c r="L388" t="str">
        <f t="shared" si="26"/>
        <v>0-2 Years</v>
      </c>
      <c r="M388">
        <f t="shared" si="27"/>
        <v>0</v>
      </c>
    </row>
    <row r="389" spans="1:13" x14ac:dyDescent="0.25">
      <c r="A389" t="s">
        <v>771</v>
      </c>
      <c r="B389">
        <v>36</v>
      </c>
      <c r="C389">
        <v>1317133</v>
      </c>
      <c r="D389">
        <v>14</v>
      </c>
      <c r="E389" t="s">
        <v>25</v>
      </c>
      <c r="F389">
        <v>3</v>
      </c>
      <c r="G389" t="s">
        <v>74</v>
      </c>
      <c r="H389" t="s">
        <v>31</v>
      </c>
      <c r="I389" t="s">
        <v>22</v>
      </c>
      <c r="J389" t="str">
        <f t="shared" si="24"/>
        <v>30-39</v>
      </c>
      <c r="K389" t="str">
        <f t="shared" si="25"/>
        <v>10-15 LPA</v>
      </c>
      <c r="L389" t="str">
        <f t="shared" si="26"/>
        <v>10+ Years</v>
      </c>
      <c r="M389">
        <f t="shared" si="27"/>
        <v>0</v>
      </c>
    </row>
    <row r="390" spans="1:13" x14ac:dyDescent="0.25">
      <c r="A390" t="s">
        <v>773</v>
      </c>
      <c r="B390">
        <v>44</v>
      </c>
      <c r="C390">
        <v>1128327</v>
      </c>
      <c r="D390">
        <v>11</v>
      </c>
      <c r="E390" t="s">
        <v>25</v>
      </c>
      <c r="F390">
        <v>4</v>
      </c>
      <c r="G390" t="s">
        <v>136</v>
      </c>
      <c r="H390" t="s">
        <v>85</v>
      </c>
      <c r="I390" t="s">
        <v>22</v>
      </c>
      <c r="J390" t="str">
        <f t="shared" si="24"/>
        <v>40-49</v>
      </c>
      <c r="K390" t="str">
        <f t="shared" si="25"/>
        <v>10-15 LPA</v>
      </c>
      <c r="L390" t="str">
        <f t="shared" si="26"/>
        <v>10+ Years</v>
      </c>
      <c r="M390">
        <f t="shared" si="27"/>
        <v>0</v>
      </c>
    </row>
    <row r="391" spans="1:13" x14ac:dyDescent="0.25">
      <c r="A391" t="s">
        <v>774</v>
      </c>
      <c r="B391">
        <v>33</v>
      </c>
      <c r="C391">
        <v>1892170</v>
      </c>
      <c r="D391">
        <v>8</v>
      </c>
      <c r="E391" t="s">
        <v>25</v>
      </c>
      <c r="F391">
        <v>3</v>
      </c>
      <c r="G391" t="s">
        <v>32</v>
      </c>
      <c r="H391" t="s">
        <v>85</v>
      </c>
      <c r="I391" t="s">
        <v>14</v>
      </c>
      <c r="J391" t="str">
        <f t="shared" si="24"/>
        <v>30-39</v>
      </c>
      <c r="K391" t="str">
        <f t="shared" si="25"/>
        <v>15+ LPA</v>
      </c>
      <c r="L391" t="str">
        <f t="shared" si="26"/>
        <v>6-10 Years</v>
      </c>
      <c r="M391">
        <f t="shared" si="27"/>
        <v>0</v>
      </c>
    </row>
    <row r="392" spans="1:13" x14ac:dyDescent="0.25">
      <c r="A392" t="s">
        <v>776</v>
      </c>
      <c r="B392">
        <v>35</v>
      </c>
      <c r="C392">
        <v>1135165</v>
      </c>
      <c r="D392">
        <v>7</v>
      </c>
      <c r="E392" t="s">
        <v>25</v>
      </c>
      <c r="F392">
        <v>3</v>
      </c>
      <c r="G392" t="s">
        <v>16</v>
      </c>
      <c r="H392" t="s">
        <v>61</v>
      </c>
      <c r="I392" t="s">
        <v>22</v>
      </c>
      <c r="J392" t="str">
        <f t="shared" si="24"/>
        <v>30-39</v>
      </c>
      <c r="K392" t="str">
        <f t="shared" si="25"/>
        <v>10-15 LPA</v>
      </c>
      <c r="L392" t="str">
        <f t="shared" si="26"/>
        <v>6-10 Years</v>
      </c>
      <c r="M392">
        <f t="shared" si="27"/>
        <v>0</v>
      </c>
    </row>
    <row r="393" spans="1:13" x14ac:dyDescent="0.25">
      <c r="A393" t="s">
        <v>778</v>
      </c>
      <c r="B393">
        <v>39</v>
      </c>
      <c r="C393">
        <v>1636651</v>
      </c>
      <c r="D393">
        <v>13</v>
      </c>
      <c r="E393" t="s">
        <v>25</v>
      </c>
      <c r="F393">
        <v>3</v>
      </c>
      <c r="G393" t="s">
        <v>16</v>
      </c>
      <c r="H393" t="s">
        <v>50</v>
      </c>
      <c r="I393" t="s">
        <v>14</v>
      </c>
      <c r="J393" t="str">
        <f t="shared" si="24"/>
        <v>30-39</v>
      </c>
      <c r="K393" t="str">
        <f t="shared" si="25"/>
        <v>15+ LPA</v>
      </c>
      <c r="L393" t="str">
        <f t="shared" si="26"/>
        <v>10+ Years</v>
      </c>
      <c r="M393">
        <f t="shared" si="27"/>
        <v>0</v>
      </c>
    </row>
    <row r="394" spans="1:13" x14ac:dyDescent="0.25">
      <c r="A394" t="s">
        <v>780</v>
      </c>
      <c r="B394">
        <v>35</v>
      </c>
      <c r="C394">
        <v>906776</v>
      </c>
      <c r="D394">
        <v>11</v>
      </c>
      <c r="E394" t="s">
        <v>25</v>
      </c>
      <c r="F394">
        <v>3</v>
      </c>
      <c r="G394" t="s">
        <v>54</v>
      </c>
      <c r="H394" t="s">
        <v>61</v>
      </c>
      <c r="I394" t="s">
        <v>22</v>
      </c>
      <c r="J394" t="str">
        <f t="shared" si="24"/>
        <v>30-39</v>
      </c>
      <c r="K394" t="str">
        <f t="shared" si="25"/>
        <v>5-10 LPA</v>
      </c>
      <c r="L394" t="str">
        <f t="shared" si="26"/>
        <v>10+ Years</v>
      </c>
      <c r="M394">
        <f t="shared" si="27"/>
        <v>0</v>
      </c>
    </row>
    <row r="395" spans="1:13" x14ac:dyDescent="0.25">
      <c r="A395" t="s">
        <v>782</v>
      </c>
      <c r="B395">
        <v>53</v>
      </c>
      <c r="C395">
        <v>1974097</v>
      </c>
      <c r="D395">
        <v>18</v>
      </c>
      <c r="E395" t="s">
        <v>19</v>
      </c>
      <c r="F395">
        <v>3</v>
      </c>
      <c r="G395" t="s">
        <v>32</v>
      </c>
      <c r="H395" t="s">
        <v>61</v>
      </c>
      <c r="I395" t="s">
        <v>14</v>
      </c>
      <c r="J395" t="str">
        <f t="shared" si="24"/>
        <v>50+</v>
      </c>
      <c r="K395" t="str">
        <f t="shared" si="25"/>
        <v>15+ LPA</v>
      </c>
      <c r="L395" t="str">
        <f t="shared" si="26"/>
        <v>10+ Years</v>
      </c>
      <c r="M395">
        <f t="shared" si="27"/>
        <v>1</v>
      </c>
    </row>
    <row r="396" spans="1:13" x14ac:dyDescent="0.25">
      <c r="A396" t="s">
        <v>784</v>
      </c>
      <c r="B396">
        <v>26</v>
      </c>
      <c r="C396">
        <v>1332374</v>
      </c>
      <c r="D396">
        <v>2</v>
      </c>
      <c r="E396" t="s">
        <v>25</v>
      </c>
      <c r="F396">
        <v>3</v>
      </c>
      <c r="G396" t="s">
        <v>32</v>
      </c>
      <c r="H396" t="s">
        <v>39</v>
      </c>
      <c r="I396" t="s">
        <v>14</v>
      </c>
      <c r="J396" t="str">
        <f t="shared" si="24"/>
        <v>25-29</v>
      </c>
      <c r="K396" t="str">
        <f t="shared" si="25"/>
        <v>10-15 LPA</v>
      </c>
      <c r="L396" t="str">
        <f t="shared" si="26"/>
        <v>0-2 Years</v>
      </c>
      <c r="M396">
        <f t="shared" si="27"/>
        <v>0</v>
      </c>
    </row>
    <row r="397" spans="1:13" x14ac:dyDescent="0.25">
      <c r="A397" t="s">
        <v>786</v>
      </c>
      <c r="B397">
        <v>37</v>
      </c>
      <c r="C397">
        <v>1077611</v>
      </c>
      <c r="D397">
        <v>10</v>
      </c>
      <c r="E397" t="s">
        <v>19</v>
      </c>
      <c r="F397">
        <v>5</v>
      </c>
      <c r="G397" t="s">
        <v>40</v>
      </c>
      <c r="H397" t="s">
        <v>45</v>
      </c>
      <c r="I397" t="s">
        <v>22</v>
      </c>
      <c r="J397" t="str">
        <f t="shared" si="24"/>
        <v>30-39</v>
      </c>
      <c r="K397" t="str">
        <f t="shared" si="25"/>
        <v>10-15 LPA</v>
      </c>
      <c r="L397" t="str">
        <f t="shared" si="26"/>
        <v>6-10 Years</v>
      </c>
      <c r="M397">
        <f t="shared" si="27"/>
        <v>1</v>
      </c>
    </row>
    <row r="398" spans="1:13" x14ac:dyDescent="0.25">
      <c r="A398" t="s">
        <v>788</v>
      </c>
      <c r="B398">
        <v>34</v>
      </c>
      <c r="C398">
        <v>1851082</v>
      </c>
      <c r="D398">
        <v>7</v>
      </c>
      <c r="E398" t="s">
        <v>25</v>
      </c>
      <c r="F398">
        <v>2</v>
      </c>
      <c r="G398" t="s">
        <v>32</v>
      </c>
      <c r="H398" t="s">
        <v>50</v>
      </c>
      <c r="I398" t="s">
        <v>22</v>
      </c>
      <c r="J398" t="str">
        <f t="shared" si="24"/>
        <v>30-39</v>
      </c>
      <c r="K398" t="str">
        <f t="shared" si="25"/>
        <v>15+ LPA</v>
      </c>
      <c r="L398" t="str">
        <f t="shared" si="26"/>
        <v>6-10 Years</v>
      </c>
      <c r="M398">
        <f t="shared" si="27"/>
        <v>0</v>
      </c>
    </row>
    <row r="399" spans="1:13" x14ac:dyDescent="0.25">
      <c r="A399" t="s">
        <v>789</v>
      </c>
      <c r="B399">
        <v>28</v>
      </c>
      <c r="C399">
        <v>717807</v>
      </c>
      <c r="D399">
        <v>3</v>
      </c>
      <c r="E399" t="s">
        <v>25</v>
      </c>
      <c r="F399">
        <v>3</v>
      </c>
      <c r="G399" t="s">
        <v>66</v>
      </c>
      <c r="H399" t="s">
        <v>61</v>
      </c>
      <c r="I399" t="s">
        <v>22</v>
      </c>
      <c r="J399" t="str">
        <f t="shared" si="24"/>
        <v>25-29</v>
      </c>
      <c r="K399" t="str">
        <f t="shared" si="25"/>
        <v>5-10 LPA</v>
      </c>
      <c r="L399" t="str">
        <f t="shared" si="26"/>
        <v>3-5 Years</v>
      </c>
      <c r="M399">
        <f t="shared" si="27"/>
        <v>0</v>
      </c>
    </row>
    <row r="400" spans="1:13" x14ac:dyDescent="0.25">
      <c r="A400" t="s">
        <v>790</v>
      </c>
      <c r="B400">
        <v>21</v>
      </c>
      <c r="C400">
        <v>783655</v>
      </c>
      <c r="D400">
        <v>0</v>
      </c>
      <c r="E400" t="s">
        <v>19</v>
      </c>
      <c r="F400">
        <v>2</v>
      </c>
      <c r="G400" t="s">
        <v>54</v>
      </c>
      <c r="H400" t="s">
        <v>31</v>
      </c>
      <c r="I400" t="s">
        <v>14</v>
      </c>
      <c r="J400" t="str">
        <f t="shared" si="24"/>
        <v>21-24</v>
      </c>
      <c r="K400" t="str">
        <f t="shared" si="25"/>
        <v>5-10 LPA</v>
      </c>
      <c r="L400" t="str">
        <f t="shared" si="26"/>
        <v>0-2 Years</v>
      </c>
      <c r="M400">
        <f t="shared" si="27"/>
        <v>1</v>
      </c>
    </row>
    <row r="401" spans="1:13" x14ac:dyDescent="0.25">
      <c r="A401" t="s">
        <v>791</v>
      </c>
      <c r="B401">
        <v>26</v>
      </c>
      <c r="C401">
        <v>761328</v>
      </c>
      <c r="D401">
        <v>1</v>
      </c>
      <c r="E401" t="s">
        <v>19</v>
      </c>
      <c r="F401">
        <v>2</v>
      </c>
      <c r="G401" t="s">
        <v>40</v>
      </c>
      <c r="H401" t="s">
        <v>85</v>
      </c>
      <c r="I401" t="s">
        <v>14</v>
      </c>
      <c r="J401" t="str">
        <f t="shared" si="24"/>
        <v>25-29</v>
      </c>
      <c r="K401" t="str">
        <f t="shared" si="25"/>
        <v>5-10 LPA</v>
      </c>
      <c r="L401" t="str">
        <f t="shared" si="26"/>
        <v>0-2 Years</v>
      </c>
      <c r="M401">
        <f t="shared" si="27"/>
        <v>1</v>
      </c>
    </row>
    <row r="402" spans="1:13" x14ac:dyDescent="0.25">
      <c r="A402" t="s">
        <v>793</v>
      </c>
      <c r="B402">
        <v>21</v>
      </c>
      <c r="C402">
        <v>1233777</v>
      </c>
      <c r="D402">
        <v>0</v>
      </c>
      <c r="E402" t="s">
        <v>19</v>
      </c>
      <c r="F402">
        <v>3</v>
      </c>
      <c r="G402" t="s">
        <v>32</v>
      </c>
      <c r="H402" t="s">
        <v>85</v>
      </c>
      <c r="I402" t="s">
        <v>22</v>
      </c>
      <c r="J402" t="str">
        <f t="shared" si="24"/>
        <v>21-24</v>
      </c>
      <c r="K402" t="str">
        <f t="shared" si="25"/>
        <v>10-15 LPA</v>
      </c>
      <c r="L402" t="str">
        <f t="shared" si="26"/>
        <v>0-2 Years</v>
      </c>
      <c r="M402">
        <f t="shared" si="27"/>
        <v>1</v>
      </c>
    </row>
    <row r="403" spans="1:13" x14ac:dyDescent="0.25">
      <c r="A403" t="s">
        <v>794</v>
      </c>
      <c r="B403">
        <v>24</v>
      </c>
      <c r="C403">
        <v>755137</v>
      </c>
      <c r="D403">
        <v>1</v>
      </c>
      <c r="E403" t="s">
        <v>25</v>
      </c>
      <c r="F403">
        <v>3</v>
      </c>
      <c r="G403" t="s">
        <v>16</v>
      </c>
      <c r="H403" t="s">
        <v>61</v>
      </c>
      <c r="I403" t="s">
        <v>22</v>
      </c>
      <c r="J403" t="str">
        <f t="shared" si="24"/>
        <v>21-24</v>
      </c>
      <c r="K403" t="str">
        <f t="shared" si="25"/>
        <v>5-10 LPA</v>
      </c>
      <c r="L403" t="str">
        <f t="shared" si="26"/>
        <v>0-2 Years</v>
      </c>
      <c r="M403">
        <f t="shared" si="27"/>
        <v>0</v>
      </c>
    </row>
    <row r="404" spans="1:13" x14ac:dyDescent="0.25">
      <c r="A404" t="s">
        <v>795</v>
      </c>
      <c r="B404">
        <v>23</v>
      </c>
      <c r="C404">
        <v>1046652</v>
      </c>
      <c r="D404">
        <v>0</v>
      </c>
      <c r="E404" t="s">
        <v>25</v>
      </c>
      <c r="F404">
        <v>4</v>
      </c>
      <c r="G404" t="s">
        <v>54</v>
      </c>
      <c r="H404" t="s">
        <v>28</v>
      </c>
      <c r="I404" t="s">
        <v>14</v>
      </c>
      <c r="J404" t="str">
        <f t="shared" si="24"/>
        <v>21-24</v>
      </c>
      <c r="K404" t="str">
        <f t="shared" si="25"/>
        <v>10-15 LPA</v>
      </c>
      <c r="L404" t="str">
        <f t="shared" si="26"/>
        <v>0-2 Years</v>
      </c>
      <c r="M404">
        <f t="shared" si="27"/>
        <v>0</v>
      </c>
    </row>
    <row r="405" spans="1:13" x14ac:dyDescent="0.25">
      <c r="A405" t="s">
        <v>797</v>
      </c>
      <c r="B405">
        <v>36</v>
      </c>
      <c r="C405">
        <v>891064</v>
      </c>
      <c r="D405">
        <v>7</v>
      </c>
      <c r="E405" t="s">
        <v>25</v>
      </c>
      <c r="F405">
        <v>4</v>
      </c>
      <c r="G405" t="s">
        <v>40</v>
      </c>
      <c r="H405" t="s">
        <v>45</v>
      </c>
      <c r="I405" t="s">
        <v>14</v>
      </c>
      <c r="J405" t="str">
        <f t="shared" si="24"/>
        <v>30-39</v>
      </c>
      <c r="K405" t="str">
        <f t="shared" si="25"/>
        <v>5-10 LPA</v>
      </c>
      <c r="L405" t="str">
        <f t="shared" si="26"/>
        <v>6-10 Years</v>
      </c>
      <c r="M405">
        <f t="shared" si="27"/>
        <v>0</v>
      </c>
    </row>
    <row r="406" spans="1:13" x14ac:dyDescent="0.25">
      <c r="A406" t="s">
        <v>799</v>
      </c>
      <c r="B406">
        <v>29</v>
      </c>
      <c r="C406">
        <v>697645</v>
      </c>
      <c r="D406">
        <v>7</v>
      </c>
      <c r="E406" t="s">
        <v>19</v>
      </c>
      <c r="F406">
        <v>4</v>
      </c>
      <c r="G406" t="s">
        <v>74</v>
      </c>
      <c r="H406" t="s">
        <v>28</v>
      </c>
      <c r="I406" t="s">
        <v>14</v>
      </c>
      <c r="J406" t="str">
        <f t="shared" si="24"/>
        <v>25-29</v>
      </c>
      <c r="K406" t="str">
        <f t="shared" si="25"/>
        <v>5-10 LPA</v>
      </c>
      <c r="L406" t="str">
        <f t="shared" si="26"/>
        <v>6-10 Years</v>
      </c>
      <c r="M406">
        <f t="shared" si="27"/>
        <v>1</v>
      </c>
    </row>
    <row r="407" spans="1:13" x14ac:dyDescent="0.25">
      <c r="A407" t="s">
        <v>800</v>
      </c>
      <c r="B407">
        <v>21</v>
      </c>
      <c r="C407">
        <v>1328836</v>
      </c>
      <c r="D407">
        <v>0</v>
      </c>
      <c r="E407" t="s">
        <v>25</v>
      </c>
      <c r="F407">
        <v>3</v>
      </c>
      <c r="G407" t="s">
        <v>32</v>
      </c>
      <c r="H407" t="s">
        <v>78</v>
      </c>
      <c r="I407" t="s">
        <v>14</v>
      </c>
      <c r="J407" t="str">
        <f t="shared" si="24"/>
        <v>21-24</v>
      </c>
      <c r="K407" t="str">
        <f t="shared" si="25"/>
        <v>10-15 LPA</v>
      </c>
      <c r="L407" t="str">
        <f t="shared" si="26"/>
        <v>0-2 Years</v>
      </c>
      <c r="M407">
        <f t="shared" si="27"/>
        <v>0</v>
      </c>
    </row>
    <row r="408" spans="1:13" x14ac:dyDescent="0.25">
      <c r="A408" t="s">
        <v>801</v>
      </c>
      <c r="B408">
        <v>25</v>
      </c>
      <c r="C408">
        <v>1165721</v>
      </c>
      <c r="D408">
        <v>3</v>
      </c>
      <c r="E408" t="s">
        <v>25</v>
      </c>
      <c r="F408">
        <v>2</v>
      </c>
      <c r="G408" t="s">
        <v>32</v>
      </c>
      <c r="H408" t="s">
        <v>15</v>
      </c>
      <c r="I408" t="s">
        <v>14</v>
      </c>
      <c r="J408" t="str">
        <f t="shared" si="24"/>
        <v>25-29</v>
      </c>
      <c r="K408" t="str">
        <f t="shared" si="25"/>
        <v>10-15 LPA</v>
      </c>
      <c r="L408" t="str">
        <f t="shared" si="26"/>
        <v>3-5 Years</v>
      </c>
      <c r="M408">
        <f t="shared" si="27"/>
        <v>0</v>
      </c>
    </row>
    <row r="409" spans="1:13" x14ac:dyDescent="0.25">
      <c r="A409" t="s">
        <v>803</v>
      </c>
      <c r="B409">
        <v>26</v>
      </c>
      <c r="C409">
        <v>1027848</v>
      </c>
      <c r="D409">
        <v>0</v>
      </c>
      <c r="E409" t="s">
        <v>19</v>
      </c>
      <c r="F409">
        <v>3</v>
      </c>
      <c r="G409" t="s">
        <v>136</v>
      </c>
      <c r="H409" t="s">
        <v>61</v>
      </c>
      <c r="I409" t="s">
        <v>14</v>
      </c>
      <c r="J409" t="str">
        <f t="shared" si="24"/>
        <v>25-29</v>
      </c>
      <c r="K409" t="str">
        <f t="shared" si="25"/>
        <v>10-15 LPA</v>
      </c>
      <c r="L409" t="str">
        <f t="shared" si="26"/>
        <v>0-2 Years</v>
      </c>
      <c r="M409">
        <f t="shared" si="27"/>
        <v>1</v>
      </c>
    </row>
    <row r="410" spans="1:13" x14ac:dyDescent="0.25">
      <c r="A410" t="s">
        <v>805</v>
      </c>
      <c r="B410">
        <v>34</v>
      </c>
      <c r="C410">
        <v>1198584</v>
      </c>
      <c r="D410">
        <v>8</v>
      </c>
      <c r="E410" t="s">
        <v>25</v>
      </c>
      <c r="F410">
        <v>4</v>
      </c>
      <c r="G410" t="s">
        <v>16</v>
      </c>
      <c r="H410" t="s">
        <v>28</v>
      </c>
      <c r="I410" t="s">
        <v>14</v>
      </c>
      <c r="J410" t="str">
        <f t="shared" si="24"/>
        <v>30-39</v>
      </c>
      <c r="K410" t="str">
        <f t="shared" si="25"/>
        <v>10-15 LPA</v>
      </c>
      <c r="L410" t="str">
        <f t="shared" si="26"/>
        <v>6-10 Years</v>
      </c>
      <c r="M410">
        <f t="shared" si="27"/>
        <v>0</v>
      </c>
    </row>
    <row r="411" spans="1:13" x14ac:dyDescent="0.25">
      <c r="A411" t="s">
        <v>807</v>
      </c>
      <c r="B411">
        <v>27</v>
      </c>
      <c r="C411">
        <v>1165608</v>
      </c>
      <c r="D411">
        <v>4</v>
      </c>
      <c r="E411" t="s">
        <v>25</v>
      </c>
      <c r="F411">
        <v>3</v>
      </c>
      <c r="G411" t="s">
        <v>54</v>
      </c>
      <c r="H411" t="s">
        <v>31</v>
      </c>
      <c r="I411" t="s">
        <v>14</v>
      </c>
      <c r="J411" t="str">
        <f t="shared" si="24"/>
        <v>25-29</v>
      </c>
      <c r="K411" t="str">
        <f t="shared" si="25"/>
        <v>10-15 LPA</v>
      </c>
      <c r="L411" t="str">
        <f t="shared" si="26"/>
        <v>3-5 Years</v>
      </c>
      <c r="M411">
        <f t="shared" si="27"/>
        <v>0</v>
      </c>
    </row>
    <row r="412" spans="1:13" x14ac:dyDescent="0.25">
      <c r="A412" t="s">
        <v>809</v>
      </c>
      <c r="B412">
        <v>37</v>
      </c>
      <c r="C412">
        <v>1142942</v>
      </c>
      <c r="D412">
        <v>8</v>
      </c>
      <c r="E412" t="s">
        <v>25</v>
      </c>
      <c r="F412">
        <v>4</v>
      </c>
      <c r="G412" t="s">
        <v>66</v>
      </c>
      <c r="H412" t="s">
        <v>50</v>
      </c>
      <c r="I412" t="s">
        <v>14</v>
      </c>
      <c r="J412" t="str">
        <f t="shared" si="24"/>
        <v>30-39</v>
      </c>
      <c r="K412" t="str">
        <f t="shared" si="25"/>
        <v>10-15 LPA</v>
      </c>
      <c r="L412" t="str">
        <f t="shared" si="26"/>
        <v>6-10 Years</v>
      </c>
      <c r="M412">
        <f t="shared" si="27"/>
        <v>0</v>
      </c>
    </row>
    <row r="413" spans="1:13" x14ac:dyDescent="0.25">
      <c r="A413" t="s">
        <v>811</v>
      </c>
      <c r="B413">
        <v>26</v>
      </c>
      <c r="C413">
        <v>1153691</v>
      </c>
      <c r="D413">
        <v>0</v>
      </c>
      <c r="E413" t="s">
        <v>25</v>
      </c>
      <c r="F413">
        <v>3</v>
      </c>
      <c r="G413" t="s">
        <v>32</v>
      </c>
      <c r="H413" t="s">
        <v>50</v>
      </c>
      <c r="I413" t="s">
        <v>14</v>
      </c>
      <c r="J413" t="str">
        <f t="shared" si="24"/>
        <v>25-29</v>
      </c>
      <c r="K413" t="str">
        <f t="shared" si="25"/>
        <v>10-15 LPA</v>
      </c>
      <c r="L413" t="str">
        <f t="shared" si="26"/>
        <v>0-2 Years</v>
      </c>
      <c r="M413">
        <f t="shared" si="27"/>
        <v>0</v>
      </c>
    </row>
    <row r="414" spans="1:13" x14ac:dyDescent="0.25">
      <c r="A414" t="s">
        <v>813</v>
      </c>
      <c r="B414">
        <v>40</v>
      </c>
      <c r="C414">
        <v>1151057</v>
      </c>
      <c r="D414">
        <v>9</v>
      </c>
      <c r="E414" t="s">
        <v>25</v>
      </c>
      <c r="F414">
        <v>3</v>
      </c>
      <c r="G414" t="s">
        <v>16</v>
      </c>
      <c r="H414" t="s">
        <v>23</v>
      </c>
      <c r="I414" t="s">
        <v>22</v>
      </c>
      <c r="J414" t="str">
        <f t="shared" si="24"/>
        <v>40-49</v>
      </c>
      <c r="K414" t="str">
        <f t="shared" si="25"/>
        <v>10-15 LPA</v>
      </c>
      <c r="L414" t="str">
        <f t="shared" si="26"/>
        <v>6-10 Years</v>
      </c>
      <c r="M414">
        <f t="shared" si="27"/>
        <v>0</v>
      </c>
    </row>
    <row r="415" spans="1:13" x14ac:dyDescent="0.25">
      <c r="A415" t="s">
        <v>815</v>
      </c>
      <c r="B415">
        <v>24</v>
      </c>
      <c r="C415">
        <v>1330361</v>
      </c>
      <c r="D415">
        <v>3</v>
      </c>
      <c r="E415" t="s">
        <v>25</v>
      </c>
      <c r="F415">
        <v>3</v>
      </c>
      <c r="G415" t="s">
        <v>66</v>
      </c>
      <c r="H415" t="s">
        <v>31</v>
      </c>
      <c r="I415" t="s">
        <v>22</v>
      </c>
      <c r="J415" t="str">
        <f t="shared" si="24"/>
        <v>21-24</v>
      </c>
      <c r="K415" t="str">
        <f t="shared" si="25"/>
        <v>10-15 LPA</v>
      </c>
      <c r="L415" t="str">
        <f t="shared" si="26"/>
        <v>3-5 Years</v>
      </c>
      <c r="M415">
        <f t="shared" si="27"/>
        <v>0</v>
      </c>
    </row>
    <row r="416" spans="1:13" x14ac:dyDescent="0.25">
      <c r="A416" t="s">
        <v>816</v>
      </c>
      <c r="B416">
        <v>21</v>
      </c>
      <c r="C416">
        <v>772426</v>
      </c>
      <c r="D416">
        <v>0</v>
      </c>
      <c r="E416" t="s">
        <v>19</v>
      </c>
      <c r="F416">
        <v>3</v>
      </c>
      <c r="G416" t="s">
        <v>66</v>
      </c>
      <c r="H416" t="s">
        <v>45</v>
      </c>
      <c r="I416" t="s">
        <v>22</v>
      </c>
      <c r="J416" t="str">
        <f t="shared" si="24"/>
        <v>21-24</v>
      </c>
      <c r="K416" t="str">
        <f t="shared" si="25"/>
        <v>5-10 LPA</v>
      </c>
      <c r="L416" t="str">
        <f t="shared" si="26"/>
        <v>0-2 Years</v>
      </c>
      <c r="M416">
        <f t="shared" si="27"/>
        <v>1</v>
      </c>
    </row>
    <row r="417" spans="1:13" x14ac:dyDescent="0.25">
      <c r="A417" t="s">
        <v>818</v>
      </c>
      <c r="B417">
        <v>25</v>
      </c>
      <c r="C417">
        <v>663143</v>
      </c>
      <c r="D417">
        <v>0</v>
      </c>
      <c r="E417" t="s">
        <v>19</v>
      </c>
      <c r="F417">
        <v>4</v>
      </c>
      <c r="G417" t="s">
        <v>54</v>
      </c>
      <c r="H417" t="s">
        <v>39</v>
      </c>
      <c r="I417" t="s">
        <v>14</v>
      </c>
      <c r="J417" t="str">
        <f t="shared" si="24"/>
        <v>25-29</v>
      </c>
      <c r="K417" t="str">
        <f t="shared" si="25"/>
        <v>5-10 LPA</v>
      </c>
      <c r="L417" t="str">
        <f t="shared" si="26"/>
        <v>0-2 Years</v>
      </c>
      <c r="M417">
        <f t="shared" si="27"/>
        <v>1</v>
      </c>
    </row>
    <row r="418" spans="1:13" x14ac:dyDescent="0.25">
      <c r="A418" t="s">
        <v>819</v>
      </c>
      <c r="B418">
        <v>37</v>
      </c>
      <c r="C418">
        <v>1451046</v>
      </c>
      <c r="D418">
        <v>9</v>
      </c>
      <c r="E418" t="s">
        <v>25</v>
      </c>
      <c r="F418">
        <v>3</v>
      </c>
      <c r="G418" t="s">
        <v>136</v>
      </c>
      <c r="H418" t="s">
        <v>23</v>
      </c>
      <c r="I418" t="s">
        <v>22</v>
      </c>
      <c r="J418" t="str">
        <f t="shared" si="24"/>
        <v>30-39</v>
      </c>
      <c r="K418" t="str">
        <f t="shared" si="25"/>
        <v>10-15 LPA</v>
      </c>
      <c r="L418" t="str">
        <f t="shared" si="26"/>
        <v>6-10 Years</v>
      </c>
      <c r="M418">
        <f t="shared" si="27"/>
        <v>0</v>
      </c>
    </row>
    <row r="419" spans="1:13" x14ac:dyDescent="0.25">
      <c r="A419" t="s">
        <v>821</v>
      </c>
      <c r="B419">
        <v>32</v>
      </c>
      <c r="C419">
        <v>1467701</v>
      </c>
      <c r="D419">
        <v>6</v>
      </c>
      <c r="E419" t="s">
        <v>25</v>
      </c>
      <c r="F419">
        <v>3</v>
      </c>
      <c r="G419" t="s">
        <v>46</v>
      </c>
      <c r="H419" t="s">
        <v>31</v>
      </c>
      <c r="I419" t="s">
        <v>14</v>
      </c>
      <c r="J419" t="str">
        <f t="shared" si="24"/>
        <v>30-39</v>
      </c>
      <c r="K419" t="str">
        <f t="shared" si="25"/>
        <v>10-15 LPA</v>
      </c>
      <c r="L419" t="str">
        <f t="shared" si="26"/>
        <v>6-10 Years</v>
      </c>
      <c r="M419">
        <f t="shared" si="27"/>
        <v>0</v>
      </c>
    </row>
    <row r="420" spans="1:13" x14ac:dyDescent="0.25">
      <c r="A420" t="s">
        <v>822</v>
      </c>
      <c r="B420">
        <v>34</v>
      </c>
      <c r="C420">
        <v>949213</v>
      </c>
      <c r="D420">
        <v>8</v>
      </c>
      <c r="E420" t="s">
        <v>25</v>
      </c>
      <c r="F420">
        <v>3</v>
      </c>
      <c r="G420" t="s">
        <v>40</v>
      </c>
      <c r="H420" t="s">
        <v>28</v>
      </c>
      <c r="I420" t="s">
        <v>14</v>
      </c>
      <c r="J420" t="str">
        <f t="shared" si="24"/>
        <v>30-39</v>
      </c>
      <c r="K420" t="str">
        <f t="shared" si="25"/>
        <v>5-10 LPA</v>
      </c>
      <c r="L420" t="str">
        <f t="shared" si="26"/>
        <v>6-10 Years</v>
      </c>
      <c r="M420">
        <f t="shared" si="27"/>
        <v>0</v>
      </c>
    </row>
    <row r="421" spans="1:13" x14ac:dyDescent="0.25">
      <c r="A421" t="s">
        <v>823</v>
      </c>
      <c r="B421">
        <v>39</v>
      </c>
      <c r="C421">
        <v>1247340</v>
      </c>
      <c r="D421">
        <v>8</v>
      </c>
      <c r="E421" t="s">
        <v>25</v>
      </c>
      <c r="F421">
        <v>3</v>
      </c>
      <c r="G421" t="s">
        <v>136</v>
      </c>
      <c r="H421" t="s">
        <v>28</v>
      </c>
      <c r="I421" t="s">
        <v>14</v>
      </c>
      <c r="J421" t="str">
        <f t="shared" si="24"/>
        <v>30-39</v>
      </c>
      <c r="K421" t="str">
        <f t="shared" si="25"/>
        <v>10-15 LPA</v>
      </c>
      <c r="L421" t="str">
        <f t="shared" si="26"/>
        <v>6-10 Years</v>
      </c>
      <c r="M421">
        <f t="shared" si="27"/>
        <v>0</v>
      </c>
    </row>
    <row r="422" spans="1:13" x14ac:dyDescent="0.25">
      <c r="A422" t="s">
        <v>825</v>
      </c>
      <c r="B422">
        <v>28</v>
      </c>
      <c r="C422">
        <v>1076413</v>
      </c>
      <c r="D422">
        <v>0</v>
      </c>
      <c r="E422" t="s">
        <v>25</v>
      </c>
      <c r="F422">
        <v>5</v>
      </c>
      <c r="G422" t="s">
        <v>46</v>
      </c>
      <c r="H422" t="s">
        <v>50</v>
      </c>
      <c r="I422" t="s">
        <v>22</v>
      </c>
      <c r="J422" t="str">
        <f t="shared" si="24"/>
        <v>25-29</v>
      </c>
      <c r="K422" t="str">
        <f t="shared" si="25"/>
        <v>10-15 LPA</v>
      </c>
      <c r="L422" t="str">
        <f t="shared" si="26"/>
        <v>0-2 Years</v>
      </c>
      <c r="M422">
        <f t="shared" si="27"/>
        <v>0</v>
      </c>
    </row>
    <row r="423" spans="1:13" x14ac:dyDescent="0.25">
      <c r="A423" t="s">
        <v>827</v>
      </c>
      <c r="B423">
        <v>34</v>
      </c>
      <c r="C423">
        <v>1123257</v>
      </c>
      <c r="D423">
        <v>6</v>
      </c>
      <c r="E423" t="s">
        <v>25</v>
      </c>
      <c r="F423">
        <v>4</v>
      </c>
      <c r="G423" t="s">
        <v>32</v>
      </c>
      <c r="H423" t="s">
        <v>28</v>
      </c>
      <c r="I423" t="s">
        <v>14</v>
      </c>
      <c r="J423" t="str">
        <f t="shared" si="24"/>
        <v>30-39</v>
      </c>
      <c r="K423" t="str">
        <f t="shared" si="25"/>
        <v>10-15 LPA</v>
      </c>
      <c r="L423" t="str">
        <f t="shared" si="26"/>
        <v>6-10 Years</v>
      </c>
      <c r="M423">
        <f t="shared" si="27"/>
        <v>0</v>
      </c>
    </row>
    <row r="424" spans="1:13" x14ac:dyDescent="0.25">
      <c r="A424" t="s">
        <v>828</v>
      </c>
      <c r="B424">
        <v>35</v>
      </c>
      <c r="C424">
        <v>1112190</v>
      </c>
      <c r="D424">
        <v>9</v>
      </c>
      <c r="E424" t="s">
        <v>25</v>
      </c>
      <c r="F424">
        <v>3</v>
      </c>
      <c r="G424" t="s">
        <v>66</v>
      </c>
      <c r="H424" t="s">
        <v>85</v>
      </c>
      <c r="I424" t="s">
        <v>22</v>
      </c>
      <c r="J424" t="str">
        <f t="shared" si="24"/>
        <v>30-39</v>
      </c>
      <c r="K424" t="str">
        <f t="shared" si="25"/>
        <v>10-15 LPA</v>
      </c>
      <c r="L424" t="str">
        <f t="shared" si="26"/>
        <v>6-10 Years</v>
      </c>
      <c r="M424">
        <f t="shared" si="27"/>
        <v>0</v>
      </c>
    </row>
    <row r="425" spans="1:13" x14ac:dyDescent="0.25">
      <c r="A425" t="s">
        <v>830</v>
      </c>
      <c r="B425">
        <v>24</v>
      </c>
      <c r="C425">
        <v>535433</v>
      </c>
      <c r="D425">
        <v>3</v>
      </c>
      <c r="E425" t="s">
        <v>19</v>
      </c>
      <c r="F425">
        <v>2</v>
      </c>
      <c r="G425" t="s">
        <v>40</v>
      </c>
      <c r="H425" t="s">
        <v>85</v>
      </c>
      <c r="I425" t="s">
        <v>22</v>
      </c>
      <c r="J425" t="str">
        <f t="shared" si="24"/>
        <v>21-24</v>
      </c>
      <c r="K425" t="str">
        <f t="shared" si="25"/>
        <v>5-10 LPA</v>
      </c>
      <c r="L425" t="str">
        <f t="shared" si="26"/>
        <v>3-5 Years</v>
      </c>
      <c r="M425">
        <f t="shared" si="27"/>
        <v>1</v>
      </c>
    </row>
    <row r="426" spans="1:13" x14ac:dyDescent="0.25">
      <c r="A426" t="s">
        <v>832</v>
      </c>
      <c r="B426">
        <v>33</v>
      </c>
      <c r="C426">
        <v>1065230</v>
      </c>
      <c r="D426">
        <v>11</v>
      </c>
      <c r="E426" t="s">
        <v>25</v>
      </c>
      <c r="F426">
        <v>3</v>
      </c>
      <c r="G426" t="s">
        <v>40</v>
      </c>
      <c r="H426" t="s">
        <v>61</v>
      </c>
      <c r="I426" t="s">
        <v>14</v>
      </c>
      <c r="J426" t="str">
        <f t="shared" si="24"/>
        <v>30-39</v>
      </c>
      <c r="K426" t="str">
        <f t="shared" si="25"/>
        <v>10-15 LPA</v>
      </c>
      <c r="L426" t="str">
        <f t="shared" si="26"/>
        <v>10+ Years</v>
      </c>
      <c r="M426">
        <f t="shared" si="27"/>
        <v>0</v>
      </c>
    </row>
    <row r="427" spans="1:13" x14ac:dyDescent="0.25">
      <c r="A427" t="s">
        <v>834</v>
      </c>
      <c r="B427">
        <v>21</v>
      </c>
      <c r="C427">
        <v>609517</v>
      </c>
      <c r="D427">
        <v>0</v>
      </c>
      <c r="E427" t="s">
        <v>25</v>
      </c>
      <c r="F427">
        <v>3</v>
      </c>
      <c r="G427" t="s">
        <v>40</v>
      </c>
      <c r="H427" t="s">
        <v>28</v>
      </c>
      <c r="I427" t="s">
        <v>14</v>
      </c>
      <c r="J427" t="str">
        <f t="shared" si="24"/>
        <v>21-24</v>
      </c>
      <c r="K427" t="str">
        <f t="shared" si="25"/>
        <v>5-10 LPA</v>
      </c>
      <c r="L427" t="str">
        <f t="shared" si="26"/>
        <v>0-2 Years</v>
      </c>
      <c r="M427">
        <f t="shared" si="27"/>
        <v>0</v>
      </c>
    </row>
    <row r="428" spans="1:13" x14ac:dyDescent="0.25">
      <c r="A428" t="s">
        <v>835</v>
      </c>
      <c r="B428">
        <v>45</v>
      </c>
      <c r="C428">
        <v>1242004</v>
      </c>
      <c r="D428">
        <v>15</v>
      </c>
      <c r="E428" t="s">
        <v>25</v>
      </c>
      <c r="F428">
        <v>2</v>
      </c>
      <c r="G428" t="s">
        <v>74</v>
      </c>
      <c r="H428" t="s">
        <v>15</v>
      </c>
      <c r="I428" t="s">
        <v>22</v>
      </c>
      <c r="J428" t="str">
        <f t="shared" si="24"/>
        <v>40-49</v>
      </c>
      <c r="K428" t="str">
        <f t="shared" si="25"/>
        <v>10-15 LPA</v>
      </c>
      <c r="L428" t="str">
        <f t="shared" si="26"/>
        <v>10+ Years</v>
      </c>
      <c r="M428">
        <f t="shared" si="27"/>
        <v>0</v>
      </c>
    </row>
    <row r="429" spans="1:13" x14ac:dyDescent="0.25">
      <c r="A429" t="s">
        <v>836</v>
      </c>
      <c r="B429">
        <v>35</v>
      </c>
      <c r="C429">
        <v>1506190</v>
      </c>
      <c r="D429">
        <v>12</v>
      </c>
      <c r="E429" t="s">
        <v>19</v>
      </c>
      <c r="F429">
        <v>3</v>
      </c>
      <c r="G429" t="s">
        <v>66</v>
      </c>
      <c r="H429" t="s">
        <v>28</v>
      </c>
      <c r="I429" t="s">
        <v>14</v>
      </c>
      <c r="J429" t="str">
        <f t="shared" si="24"/>
        <v>30-39</v>
      </c>
      <c r="K429" t="str">
        <f t="shared" si="25"/>
        <v>15+ LPA</v>
      </c>
      <c r="L429" t="str">
        <f t="shared" si="26"/>
        <v>10+ Years</v>
      </c>
      <c r="M429">
        <f t="shared" si="27"/>
        <v>1</v>
      </c>
    </row>
    <row r="430" spans="1:13" x14ac:dyDescent="0.25">
      <c r="A430" t="s">
        <v>838</v>
      </c>
      <c r="B430">
        <v>21</v>
      </c>
      <c r="C430">
        <v>1044062</v>
      </c>
      <c r="D430">
        <v>0</v>
      </c>
      <c r="E430" t="s">
        <v>19</v>
      </c>
      <c r="F430">
        <v>3</v>
      </c>
      <c r="G430" t="s">
        <v>46</v>
      </c>
      <c r="H430" t="s">
        <v>28</v>
      </c>
      <c r="I430" t="s">
        <v>14</v>
      </c>
      <c r="J430" t="str">
        <f t="shared" si="24"/>
        <v>21-24</v>
      </c>
      <c r="K430" t="str">
        <f t="shared" si="25"/>
        <v>10-15 LPA</v>
      </c>
      <c r="L430" t="str">
        <f t="shared" si="26"/>
        <v>0-2 Years</v>
      </c>
      <c r="M430">
        <f t="shared" si="27"/>
        <v>1</v>
      </c>
    </row>
    <row r="431" spans="1:13" x14ac:dyDescent="0.25">
      <c r="A431" t="s">
        <v>840</v>
      </c>
      <c r="B431">
        <v>35</v>
      </c>
      <c r="C431">
        <v>1302391</v>
      </c>
      <c r="D431">
        <v>6</v>
      </c>
      <c r="E431" t="s">
        <v>25</v>
      </c>
      <c r="F431">
        <v>3</v>
      </c>
      <c r="G431" t="s">
        <v>40</v>
      </c>
      <c r="H431" t="s">
        <v>78</v>
      </c>
      <c r="I431" t="s">
        <v>14</v>
      </c>
      <c r="J431" t="str">
        <f t="shared" si="24"/>
        <v>30-39</v>
      </c>
      <c r="K431" t="str">
        <f t="shared" si="25"/>
        <v>10-15 LPA</v>
      </c>
      <c r="L431" t="str">
        <f t="shared" si="26"/>
        <v>6-10 Years</v>
      </c>
      <c r="M431">
        <f t="shared" si="27"/>
        <v>0</v>
      </c>
    </row>
    <row r="432" spans="1:13" x14ac:dyDescent="0.25">
      <c r="A432" t="s">
        <v>842</v>
      </c>
      <c r="B432">
        <v>35</v>
      </c>
      <c r="C432">
        <v>1621320</v>
      </c>
      <c r="D432">
        <v>9</v>
      </c>
      <c r="E432" t="s">
        <v>25</v>
      </c>
      <c r="F432">
        <v>3</v>
      </c>
      <c r="G432" t="s">
        <v>32</v>
      </c>
      <c r="H432" t="s">
        <v>61</v>
      </c>
      <c r="I432" t="s">
        <v>14</v>
      </c>
      <c r="J432" t="str">
        <f t="shared" si="24"/>
        <v>30-39</v>
      </c>
      <c r="K432" t="str">
        <f t="shared" si="25"/>
        <v>15+ LPA</v>
      </c>
      <c r="L432" t="str">
        <f t="shared" si="26"/>
        <v>6-10 Years</v>
      </c>
      <c r="M432">
        <f t="shared" si="27"/>
        <v>0</v>
      </c>
    </row>
    <row r="433" spans="1:13" x14ac:dyDescent="0.25">
      <c r="A433" t="s">
        <v>843</v>
      </c>
      <c r="B433">
        <v>28</v>
      </c>
      <c r="C433">
        <v>422105</v>
      </c>
      <c r="D433">
        <v>0</v>
      </c>
      <c r="E433" t="s">
        <v>25</v>
      </c>
      <c r="F433">
        <v>3</v>
      </c>
      <c r="G433" t="s">
        <v>74</v>
      </c>
      <c r="H433" t="s">
        <v>61</v>
      </c>
      <c r="I433" t="s">
        <v>14</v>
      </c>
      <c r="J433" t="str">
        <f t="shared" si="24"/>
        <v>25-29</v>
      </c>
      <c r="K433" t="str">
        <f t="shared" si="25"/>
        <v>Below 5 LPA</v>
      </c>
      <c r="L433" t="str">
        <f t="shared" si="26"/>
        <v>0-2 Years</v>
      </c>
      <c r="M433">
        <f t="shared" si="27"/>
        <v>0</v>
      </c>
    </row>
    <row r="434" spans="1:13" x14ac:dyDescent="0.25">
      <c r="A434" t="s">
        <v>844</v>
      </c>
      <c r="B434">
        <v>26</v>
      </c>
      <c r="C434">
        <v>480246</v>
      </c>
      <c r="D434">
        <v>0</v>
      </c>
      <c r="E434" t="s">
        <v>19</v>
      </c>
      <c r="F434">
        <v>1</v>
      </c>
      <c r="G434" t="s">
        <v>40</v>
      </c>
      <c r="H434" t="s">
        <v>15</v>
      </c>
      <c r="I434" t="s">
        <v>22</v>
      </c>
      <c r="J434" t="str">
        <f t="shared" si="24"/>
        <v>25-29</v>
      </c>
      <c r="K434" t="str">
        <f t="shared" si="25"/>
        <v>Below 5 LPA</v>
      </c>
      <c r="L434" t="str">
        <f t="shared" si="26"/>
        <v>0-2 Years</v>
      </c>
      <c r="M434">
        <f t="shared" si="27"/>
        <v>1</v>
      </c>
    </row>
    <row r="435" spans="1:13" x14ac:dyDescent="0.25">
      <c r="A435" t="s">
        <v>845</v>
      </c>
      <c r="B435">
        <v>45</v>
      </c>
      <c r="C435">
        <v>1786593</v>
      </c>
      <c r="D435">
        <v>14</v>
      </c>
      <c r="E435" t="s">
        <v>19</v>
      </c>
      <c r="F435">
        <v>3</v>
      </c>
      <c r="G435" t="s">
        <v>46</v>
      </c>
      <c r="H435" t="s">
        <v>45</v>
      </c>
      <c r="I435" t="s">
        <v>14</v>
      </c>
      <c r="J435" t="str">
        <f t="shared" si="24"/>
        <v>40-49</v>
      </c>
      <c r="K435" t="str">
        <f t="shared" si="25"/>
        <v>15+ LPA</v>
      </c>
      <c r="L435" t="str">
        <f t="shared" si="26"/>
        <v>10+ Years</v>
      </c>
      <c r="M435">
        <f t="shared" si="27"/>
        <v>1</v>
      </c>
    </row>
    <row r="436" spans="1:13" x14ac:dyDescent="0.25">
      <c r="A436" t="s">
        <v>847</v>
      </c>
      <c r="B436">
        <v>33</v>
      </c>
      <c r="C436">
        <v>1135519</v>
      </c>
      <c r="D436">
        <v>3</v>
      </c>
      <c r="E436" t="s">
        <v>25</v>
      </c>
      <c r="F436">
        <v>3</v>
      </c>
      <c r="G436" t="s">
        <v>46</v>
      </c>
      <c r="H436" t="s">
        <v>23</v>
      </c>
      <c r="I436" t="s">
        <v>14</v>
      </c>
      <c r="J436" t="str">
        <f t="shared" si="24"/>
        <v>30-39</v>
      </c>
      <c r="K436" t="str">
        <f t="shared" si="25"/>
        <v>10-15 LPA</v>
      </c>
      <c r="L436" t="str">
        <f t="shared" si="26"/>
        <v>3-5 Years</v>
      </c>
      <c r="M436">
        <f t="shared" si="27"/>
        <v>0</v>
      </c>
    </row>
    <row r="437" spans="1:13" x14ac:dyDescent="0.25">
      <c r="A437" t="s">
        <v>849</v>
      </c>
      <c r="B437">
        <v>27</v>
      </c>
      <c r="C437">
        <v>857752</v>
      </c>
      <c r="D437">
        <v>4</v>
      </c>
      <c r="E437" t="s">
        <v>25</v>
      </c>
      <c r="F437">
        <v>2</v>
      </c>
      <c r="G437" t="s">
        <v>136</v>
      </c>
      <c r="H437" t="s">
        <v>15</v>
      </c>
      <c r="I437" t="s">
        <v>22</v>
      </c>
      <c r="J437" t="str">
        <f t="shared" si="24"/>
        <v>25-29</v>
      </c>
      <c r="K437" t="str">
        <f t="shared" si="25"/>
        <v>5-10 LPA</v>
      </c>
      <c r="L437" t="str">
        <f t="shared" si="26"/>
        <v>3-5 Years</v>
      </c>
      <c r="M437">
        <f t="shared" si="27"/>
        <v>0</v>
      </c>
    </row>
    <row r="438" spans="1:13" x14ac:dyDescent="0.25">
      <c r="A438" t="s">
        <v>851</v>
      </c>
      <c r="B438">
        <v>40</v>
      </c>
      <c r="C438">
        <v>1246066</v>
      </c>
      <c r="D438">
        <v>14</v>
      </c>
      <c r="E438" t="s">
        <v>19</v>
      </c>
      <c r="F438">
        <v>4</v>
      </c>
      <c r="G438" t="s">
        <v>66</v>
      </c>
      <c r="H438" t="s">
        <v>45</v>
      </c>
      <c r="I438" t="s">
        <v>14</v>
      </c>
      <c r="J438" t="str">
        <f t="shared" si="24"/>
        <v>40-49</v>
      </c>
      <c r="K438" t="str">
        <f t="shared" si="25"/>
        <v>10-15 LPA</v>
      </c>
      <c r="L438" t="str">
        <f t="shared" si="26"/>
        <v>10+ Years</v>
      </c>
      <c r="M438">
        <f t="shared" si="27"/>
        <v>1</v>
      </c>
    </row>
    <row r="439" spans="1:13" x14ac:dyDescent="0.25">
      <c r="A439" t="s">
        <v>853</v>
      </c>
      <c r="B439">
        <v>29</v>
      </c>
      <c r="C439">
        <v>1211443</v>
      </c>
      <c r="D439">
        <v>0</v>
      </c>
      <c r="E439" t="s">
        <v>25</v>
      </c>
      <c r="F439">
        <v>5</v>
      </c>
      <c r="G439" t="s">
        <v>32</v>
      </c>
      <c r="H439" t="s">
        <v>61</v>
      </c>
      <c r="I439" t="s">
        <v>14</v>
      </c>
      <c r="J439" t="str">
        <f t="shared" si="24"/>
        <v>25-29</v>
      </c>
      <c r="K439" t="str">
        <f t="shared" si="25"/>
        <v>10-15 LPA</v>
      </c>
      <c r="L439" t="str">
        <f t="shared" si="26"/>
        <v>0-2 Years</v>
      </c>
      <c r="M439">
        <f t="shared" si="27"/>
        <v>0</v>
      </c>
    </row>
    <row r="440" spans="1:13" x14ac:dyDescent="0.25">
      <c r="A440" t="s">
        <v>855</v>
      </c>
      <c r="B440">
        <v>41</v>
      </c>
      <c r="C440">
        <v>1524086</v>
      </c>
      <c r="D440">
        <v>15</v>
      </c>
      <c r="E440" t="s">
        <v>25</v>
      </c>
      <c r="F440">
        <v>3</v>
      </c>
      <c r="G440" t="s">
        <v>136</v>
      </c>
      <c r="H440" t="s">
        <v>45</v>
      </c>
      <c r="I440" t="s">
        <v>22</v>
      </c>
      <c r="J440" t="str">
        <f t="shared" si="24"/>
        <v>40-49</v>
      </c>
      <c r="K440" t="str">
        <f t="shared" si="25"/>
        <v>15+ LPA</v>
      </c>
      <c r="L440" t="str">
        <f t="shared" si="26"/>
        <v>10+ Years</v>
      </c>
      <c r="M440">
        <f t="shared" si="27"/>
        <v>0</v>
      </c>
    </row>
    <row r="441" spans="1:13" x14ac:dyDescent="0.25">
      <c r="A441" t="s">
        <v>857</v>
      </c>
      <c r="B441">
        <v>34</v>
      </c>
      <c r="C441">
        <v>1505132</v>
      </c>
      <c r="D441">
        <v>7</v>
      </c>
      <c r="E441" t="s">
        <v>25</v>
      </c>
      <c r="F441">
        <v>3</v>
      </c>
      <c r="G441" t="s">
        <v>32</v>
      </c>
      <c r="H441" t="s">
        <v>45</v>
      </c>
      <c r="I441" t="s">
        <v>22</v>
      </c>
      <c r="J441" t="str">
        <f t="shared" si="24"/>
        <v>30-39</v>
      </c>
      <c r="K441" t="str">
        <f t="shared" si="25"/>
        <v>15+ LPA</v>
      </c>
      <c r="L441" t="str">
        <f t="shared" si="26"/>
        <v>6-10 Years</v>
      </c>
      <c r="M441">
        <f t="shared" si="27"/>
        <v>0</v>
      </c>
    </row>
    <row r="442" spans="1:13" x14ac:dyDescent="0.25">
      <c r="A442" t="s">
        <v>859</v>
      </c>
      <c r="B442">
        <v>36</v>
      </c>
      <c r="C442">
        <v>1513064</v>
      </c>
      <c r="D442">
        <v>6</v>
      </c>
      <c r="E442" t="s">
        <v>19</v>
      </c>
      <c r="F442">
        <v>3</v>
      </c>
      <c r="G442" t="s">
        <v>32</v>
      </c>
      <c r="H442" t="s">
        <v>85</v>
      </c>
      <c r="I442" t="s">
        <v>22</v>
      </c>
      <c r="J442" t="str">
        <f t="shared" si="24"/>
        <v>30-39</v>
      </c>
      <c r="K442" t="str">
        <f t="shared" si="25"/>
        <v>15+ LPA</v>
      </c>
      <c r="L442" t="str">
        <f t="shared" si="26"/>
        <v>6-10 Years</v>
      </c>
      <c r="M442">
        <f t="shared" si="27"/>
        <v>1</v>
      </c>
    </row>
    <row r="443" spans="1:13" x14ac:dyDescent="0.25">
      <c r="A443" t="s">
        <v>861</v>
      </c>
      <c r="B443">
        <v>21</v>
      </c>
      <c r="C443">
        <v>587764</v>
      </c>
      <c r="D443">
        <v>0</v>
      </c>
      <c r="E443" t="s">
        <v>25</v>
      </c>
      <c r="F443">
        <v>3</v>
      </c>
      <c r="G443" t="s">
        <v>54</v>
      </c>
      <c r="H443" t="s">
        <v>23</v>
      </c>
      <c r="I443" t="s">
        <v>14</v>
      </c>
      <c r="J443" t="str">
        <f t="shared" si="24"/>
        <v>21-24</v>
      </c>
      <c r="K443" t="str">
        <f t="shared" si="25"/>
        <v>5-10 LPA</v>
      </c>
      <c r="L443" t="str">
        <f t="shared" si="26"/>
        <v>0-2 Years</v>
      </c>
      <c r="M443">
        <f t="shared" si="27"/>
        <v>0</v>
      </c>
    </row>
    <row r="444" spans="1:13" x14ac:dyDescent="0.25">
      <c r="A444" t="s">
        <v>862</v>
      </c>
      <c r="B444">
        <v>41</v>
      </c>
      <c r="C444">
        <v>861609</v>
      </c>
      <c r="D444">
        <v>9</v>
      </c>
      <c r="E444" t="s">
        <v>25</v>
      </c>
      <c r="F444">
        <v>3</v>
      </c>
      <c r="G444" t="s">
        <v>40</v>
      </c>
      <c r="H444" t="s">
        <v>45</v>
      </c>
      <c r="I444" t="s">
        <v>22</v>
      </c>
      <c r="J444" t="str">
        <f t="shared" si="24"/>
        <v>40-49</v>
      </c>
      <c r="K444" t="str">
        <f t="shared" si="25"/>
        <v>5-10 LPA</v>
      </c>
      <c r="L444" t="str">
        <f t="shared" si="26"/>
        <v>6-10 Years</v>
      </c>
      <c r="M444">
        <f t="shared" si="27"/>
        <v>0</v>
      </c>
    </row>
    <row r="445" spans="1:13" x14ac:dyDescent="0.25">
      <c r="A445" t="s">
        <v>863</v>
      </c>
      <c r="B445">
        <v>29</v>
      </c>
      <c r="C445">
        <v>621515</v>
      </c>
      <c r="D445">
        <v>0</v>
      </c>
      <c r="E445" t="s">
        <v>19</v>
      </c>
      <c r="F445">
        <v>3</v>
      </c>
      <c r="G445" t="s">
        <v>40</v>
      </c>
      <c r="H445" t="s">
        <v>61</v>
      </c>
      <c r="I445" t="s">
        <v>14</v>
      </c>
      <c r="J445" t="str">
        <f t="shared" si="24"/>
        <v>25-29</v>
      </c>
      <c r="K445" t="str">
        <f t="shared" si="25"/>
        <v>5-10 LPA</v>
      </c>
      <c r="L445" t="str">
        <f t="shared" si="26"/>
        <v>0-2 Years</v>
      </c>
      <c r="M445">
        <f t="shared" si="27"/>
        <v>1</v>
      </c>
    </row>
    <row r="446" spans="1:13" x14ac:dyDescent="0.25">
      <c r="A446" t="s">
        <v>864</v>
      </c>
      <c r="B446">
        <v>42</v>
      </c>
      <c r="C446">
        <v>899357</v>
      </c>
      <c r="D446">
        <v>10</v>
      </c>
      <c r="E446" t="s">
        <v>25</v>
      </c>
      <c r="F446">
        <v>1</v>
      </c>
      <c r="G446" t="s">
        <v>74</v>
      </c>
      <c r="H446" t="s">
        <v>23</v>
      </c>
      <c r="I446" t="s">
        <v>14</v>
      </c>
      <c r="J446" t="str">
        <f t="shared" si="24"/>
        <v>40-49</v>
      </c>
      <c r="K446" t="str">
        <f t="shared" si="25"/>
        <v>5-10 LPA</v>
      </c>
      <c r="L446" t="str">
        <f t="shared" si="26"/>
        <v>6-10 Years</v>
      </c>
      <c r="M446">
        <f t="shared" si="27"/>
        <v>0</v>
      </c>
    </row>
    <row r="447" spans="1:13" x14ac:dyDescent="0.25">
      <c r="A447" t="s">
        <v>866</v>
      </c>
      <c r="B447">
        <v>30</v>
      </c>
      <c r="C447">
        <v>829904</v>
      </c>
      <c r="D447">
        <v>3</v>
      </c>
      <c r="E447" t="s">
        <v>25</v>
      </c>
      <c r="F447">
        <v>5</v>
      </c>
      <c r="G447" t="s">
        <v>66</v>
      </c>
      <c r="H447" t="s">
        <v>78</v>
      </c>
      <c r="I447" t="s">
        <v>22</v>
      </c>
      <c r="J447" t="str">
        <f t="shared" si="24"/>
        <v>30-39</v>
      </c>
      <c r="K447" t="str">
        <f t="shared" si="25"/>
        <v>5-10 LPA</v>
      </c>
      <c r="L447" t="str">
        <f t="shared" si="26"/>
        <v>3-5 Years</v>
      </c>
      <c r="M447">
        <f t="shared" si="27"/>
        <v>0</v>
      </c>
    </row>
    <row r="448" spans="1:13" x14ac:dyDescent="0.25">
      <c r="A448" t="s">
        <v>868</v>
      </c>
      <c r="B448">
        <v>27</v>
      </c>
      <c r="C448">
        <v>777711</v>
      </c>
      <c r="D448">
        <v>2</v>
      </c>
      <c r="E448" t="s">
        <v>19</v>
      </c>
      <c r="F448">
        <v>3</v>
      </c>
      <c r="G448" t="s">
        <v>66</v>
      </c>
      <c r="H448" t="s">
        <v>28</v>
      </c>
      <c r="I448" t="s">
        <v>14</v>
      </c>
      <c r="J448" t="str">
        <f t="shared" si="24"/>
        <v>25-29</v>
      </c>
      <c r="K448" t="str">
        <f t="shared" si="25"/>
        <v>5-10 LPA</v>
      </c>
      <c r="L448" t="str">
        <f t="shared" si="26"/>
        <v>0-2 Years</v>
      </c>
      <c r="M448">
        <f t="shared" si="27"/>
        <v>1</v>
      </c>
    </row>
    <row r="449" spans="1:13" x14ac:dyDescent="0.25">
      <c r="A449" t="s">
        <v>869</v>
      </c>
      <c r="B449">
        <v>31</v>
      </c>
      <c r="C449">
        <v>1334118</v>
      </c>
      <c r="D449">
        <v>5</v>
      </c>
      <c r="E449" t="s">
        <v>25</v>
      </c>
      <c r="F449">
        <v>5</v>
      </c>
      <c r="G449" t="s">
        <v>32</v>
      </c>
      <c r="H449" t="s">
        <v>45</v>
      </c>
      <c r="I449" t="s">
        <v>22</v>
      </c>
      <c r="J449" t="str">
        <f t="shared" si="24"/>
        <v>30-39</v>
      </c>
      <c r="K449" t="str">
        <f t="shared" si="25"/>
        <v>10-15 LPA</v>
      </c>
      <c r="L449" t="str">
        <f t="shared" si="26"/>
        <v>3-5 Years</v>
      </c>
      <c r="M449">
        <f t="shared" si="27"/>
        <v>0</v>
      </c>
    </row>
    <row r="450" spans="1:13" x14ac:dyDescent="0.25">
      <c r="A450" t="s">
        <v>870</v>
      </c>
      <c r="B450">
        <v>24</v>
      </c>
      <c r="C450">
        <v>508280</v>
      </c>
      <c r="D450">
        <v>3</v>
      </c>
      <c r="E450" t="s">
        <v>25</v>
      </c>
      <c r="F450">
        <v>3</v>
      </c>
      <c r="G450" t="s">
        <v>74</v>
      </c>
      <c r="H450" t="s">
        <v>61</v>
      </c>
      <c r="I450" t="s">
        <v>14</v>
      </c>
      <c r="J450" t="str">
        <f t="shared" si="24"/>
        <v>21-24</v>
      </c>
      <c r="K450" t="str">
        <f t="shared" si="25"/>
        <v>5-10 LPA</v>
      </c>
      <c r="L450" t="str">
        <f t="shared" si="26"/>
        <v>3-5 Years</v>
      </c>
      <c r="M450">
        <f t="shared" si="27"/>
        <v>0</v>
      </c>
    </row>
    <row r="451" spans="1:13" x14ac:dyDescent="0.25">
      <c r="A451" t="s">
        <v>872</v>
      </c>
      <c r="B451">
        <v>32</v>
      </c>
      <c r="C451">
        <v>545904</v>
      </c>
      <c r="D451">
        <v>3</v>
      </c>
      <c r="E451" t="s">
        <v>25</v>
      </c>
      <c r="F451">
        <v>2</v>
      </c>
      <c r="G451" t="s">
        <v>74</v>
      </c>
      <c r="H451" t="s">
        <v>61</v>
      </c>
      <c r="I451" t="s">
        <v>22</v>
      </c>
      <c r="J451" t="str">
        <f t="shared" ref="J451:J501" si="28">IF(B451&lt;25,"21-24",
IF(B451&lt;30,"25-29",
IF(B451&lt;40,"30-39",
IF(B451&lt;50,"40-49","50+"))))</f>
        <v>30-39</v>
      </c>
      <c r="K451" t="str">
        <f t="shared" ref="K451:K501" si="29">IF(C451&lt;500000,"Below 5 LPA",
IF(C451&lt;1000000,"5-10 LPA",
IF(C451&lt;1500000,"10-15 LPA","15+ LPA")))</f>
        <v>5-10 LPA</v>
      </c>
      <c r="L451" t="str">
        <f t="shared" ref="L451:L501" si="30">IF(D451&lt;=2,"0-2 Years",
IF(D451&lt;=5,"3-5 Years",
IF(D451&lt;=10,"6-10 Years","10+ Years")))</f>
        <v>3-5 Years</v>
      </c>
      <c r="M451">
        <f t="shared" ref="M451:M501" si="31">IF(E451="Yes",1,0)</f>
        <v>0</v>
      </c>
    </row>
    <row r="452" spans="1:13" x14ac:dyDescent="0.25">
      <c r="A452" t="s">
        <v>873</v>
      </c>
      <c r="B452">
        <v>36</v>
      </c>
      <c r="C452">
        <v>771104</v>
      </c>
      <c r="D452">
        <v>5</v>
      </c>
      <c r="E452" t="s">
        <v>25</v>
      </c>
      <c r="F452">
        <v>3</v>
      </c>
      <c r="G452" t="s">
        <v>66</v>
      </c>
      <c r="H452" t="s">
        <v>23</v>
      </c>
      <c r="I452" t="s">
        <v>14</v>
      </c>
      <c r="J452" t="str">
        <f t="shared" si="28"/>
        <v>30-39</v>
      </c>
      <c r="K452" t="str">
        <f t="shared" si="29"/>
        <v>5-10 LPA</v>
      </c>
      <c r="L452" t="str">
        <f t="shared" si="30"/>
        <v>3-5 Years</v>
      </c>
      <c r="M452">
        <f t="shared" si="31"/>
        <v>0</v>
      </c>
    </row>
    <row r="453" spans="1:13" x14ac:dyDescent="0.25">
      <c r="A453" t="s">
        <v>874</v>
      </c>
      <c r="B453">
        <v>27</v>
      </c>
      <c r="C453">
        <v>848186</v>
      </c>
      <c r="D453">
        <v>6</v>
      </c>
      <c r="E453" t="s">
        <v>19</v>
      </c>
      <c r="F453">
        <v>2</v>
      </c>
      <c r="G453" t="s">
        <v>54</v>
      </c>
      <c r="H453" t="s">
        <v>61</v>
      </c>
      <c r="I453" t="s">
        <v>14</v>
      </c>
      <c r="J453" t="str">
        <f t="shared" si="28"/>
        <v>25-29</v>
      </c>
      <c r="K453" t="str">
        <f t="shared" si="29"/>
        <v>5-10 LPA</v>
      </c>
      <c r="L453" t="str">
        <f t="shared" si="30"/>
        <v>6-10 Years</v>
      </c>
      <c r="M453">
        <f t="shared" si="31"/>
        <v>1</v>
      </c>
    </row>
    <row r="454" spans="1:13" x14ac:dyDescent="0.25">
      <c r="A454" t="s">
        <v>876</v>
      </c>
      <c r="B454">
        <v>43</v>
      </c>
      <c r="C454">
        <v>1076101</v>
      </c>
      <c r="D454">
        <v>9</v>
      </c>
      <c r="E454" t="s">
        <v>25</v>
      </c>
      <c r="F454">
        <v>2</v>
      </c>
      <c r="G454" t="s">
        <v>66</v>
      </c>
      <c r="H454" t="s">
        <v>78</v>
      </c>
      <c r="I454" t="s">
        <v>14</v>
      </c>
      <c r="J454" t="str">
        <f t="shared" si="28"/>
        <v>40-49</v>
      </c>
      <c r="K454" t="str">
        <f t="shared" si="29"/>
        <v>10-15 LPA</v>
      </c>
      <c r="L454" t="str">
        <f t="shared" si="30"/>
        <v>6-10 Years</v>
      </c>
      <c r="M454">
        <f t="shared" si="31"/>
        <v>0</v>
      </c>
    </row>
    <row r="455" spans="1:13" x14ac:dyDescent="0.25">
      <c r="A455" t="s">
        <v>877</v>
      </c>
      <c r="B455">
        <v>25</v>
      </c>
      <c r="C455">
        <v>502280</v>
      </c>
      <c r="D455">
        <v>0</v>
      </c>
      <c r="E455" t="s">
        <v>25</v>
      </c>
      <c r="F455">
        <v>3</v>
      </c>
      <c r="G455" t="s">
        <v>136</v>
      </c>
      <c r="H455" t="s">
        <v>85</v>
      </c>
      <c r="I455" t="s">
        <v>14</v>
      </c>
      <c r="J455" t="str">
        <f t="shared" si="28"/>
        <v>25-29</v>
      </c>
      <c r="K455" t="str">
        <f t="shared" si="29"/>
        <v>5-10 LPA</v>
      </c>
      <c r="L455" t="str">
        <f t="shared" si="30"/>
        <v>0-2 Years</v>
      </c>
      <c r="M455">
        <f t="shared" si="31"/>
        <v>0</v>
      </c>
    </row>
    <row r="456" spans="1:13" x14ac:dyDescent="0.25">
      <c r="A456" t="s">
        <v>879</v>
      </c>
      <c r="B456">
        <v>29</v>
      </c>
      <c r="C456">
        <v>1191128</v>
      </c>
      <c r="D456">
        <v>7</v>
      </c>
      <c r="E456" t="s">
        <v>19</v>
      </c>
      <c r="F456">
        <v>3</v>
      </c>
      <c r="G456" t="s">
        <v>16</v>
      </c>
      <c r="H456" t="s">
        <v>50</v>
      </c>
      <c r="I456" t="s">
        <v>22</v>
      </c>
      <c r="J456" t="str">
        <f t="shared" si="28"/>
        <v>25-29</v>
      </c>
      <c r="K456" t="str">
        <f t="shared" si="29"/>
        <v>10-15 LPA</v>
      </c>
      <c r="L456" t="str">
        <f t="shared" si="30"/>
        <v>6-10 Years</v>
      </c>
      <c r="M456">
        <f t="shared" si="31"/>
        <v>1</v>
      </c>
    </row>
    <row r="457" spans="1:13" x14ac:dyDescent="0.25">
      <c r="A457" t="s">
        <v>880</v>
      </c>
      <c r="B457">
        <v>24</v>
      </c>
      <c r="C457">
        <v>729665</v>
      </c>
      <c r="D457">
        <v>3</v>
      </c>
      <c r="E457" t="s">
        <v>25</v>
      </c>
      <c r="F457">
        <v>3</v>
      </c>
      <c r="G457" t="s">
        <v>74</v>
      </c>
      <c r="H457" t="s">
        <v>50</v>
      </c>
      <c r="I457" t="s">
        <v>22</v>
      </c>
      <c r="J457" t="str">
        <f t="shared" si="28"/>
        <v>21-24</v>
      </c>
      <c r="K457" t="str">
        <f t="shared" si="29"/>
        <v>5-10 LPA</v>
      </c>
      <c r="L457" t="str">
        <f t="shared" si="30"/>
        <v>3-5 Years</v>
      </c>
      <c r="M457">
        <f t="shared" si="31"/>
        <v>0</v>
      </c>
    </row>
    <row r="458" spans="1:13" x14ac:dyDescent="0.25">
      <c r="A458" t="s">
        <v>881</v>
      </c>
      <c r="B458">
        <v>21</v>
      </c>
      <c r="C458">
        <v>1296024</v>
      </c>
      <c r="D458">
        <v>0</v>
      </c>
      <c r="E458" t="s">
        <v>25</v>
      </c>
      <c r="F458">
        <v>3</v>
      </c>
      <c r="G458" t="s">
        <v>32</v>
      </c>
      <c r="H458" t="s">
        <v>31</v>
      </c>
      <c r="I458" t="s">
        <v>14</v>
      </c>
      <c r="J458" t="str">
        <f t="shared" si="28"/>
        <v>21-24</v>
      </c>
      <c r="K458" t="str">
        <f t="shared" si="29"/>
        <v>10-15 LPA</v>
      </c>
      <c r="L458" t="str">
        <f t="shared" si="30"/>
        <v>0-2 Years</v>
      </c>
      <c r="M458">
        <f t="shared" si="31"/>
        <v>0</v>
      </c>
    </row>
    <row r="459" spans="1:13" x14ac:dyDescent="0.25">
      <c r="A459" t="s">
        <v>883</v>
      </c>
      <c r="B459">
        <v>35</v>
      </c>
      <c r="C459">
        <v>994070</v>
      </c>
      <c r="D459">
        <v>4</v>
      </c>
      <c r="E459" t="s">
        <v>19</v>
      </c>
      <c r="F459">
        <v>4</v>
      </c>
      <c r="G459" t="s">
        <v>54</v>
      </c>
      <c r="H459" t="s">
        <v>85</v>
      </c>
      <c r="I459" t="s">
        <v>14</v>
      </c>
      <c r="J459" t="str">
        <f t="shared" si="28"/>
        <v>30-39</v>
      </c>
      <c r="K459" t="str">
        <f t="shared" si="29"/>
        <v>5-10 LPA</v>
      </c>
      <c r="L459" t="str">
        <f t="shared" si="30"/>
        <v>3-5 Years</v>
      </c>
      <c r="M459">
        <f t="shared" si="31"/>
        <v>1</v>
      </c>
    </row>
    <row r="460" spans="1:13" x14ac:dyDescent="0.25">
      <c r="A460" t="s">
        <v>885</v>
      </c>
      <c r="B460">
        <v>28</v>
      </c>
      <c r="C460">
        <v>1938593</v>
      </c>
      <c r="D460">
        <v>6</v>
      </c>
      <c r="E460" t="s">
        <v>25</v>
      </c>
      <c r="F460">
        <v>3</v>
      </c>
      <c r="G460" t="s">
        <v>32</v>
      </c>
      <c r="H460" t="s">
        <v>15</v>
      </c>
      <c r="I460" t="s">
        <v>14</v>
      </c>
      <c r="J460" t="str">
        <f t="shared" si="28"/>
        <v>25-29</v>
      </c>
      <c r="K460" t="str">
        <f t="shared" si="29"/>
        <v>15+ LPA</v>
      </c>
      <c r="L460" t="str">
        <f t="shared" si="30"/>
        <v>6-10 Years</v>
      </c>
      <c r="M460">
        <f t="shared" si="31"/>
        <v>0</v>
      </c>
    </row>
    <row r="461" spans="1:13" x14ac:dyDescent="0.25">
      <c r="A461" t="s">
        <v>886</v>
      </c>
      <c r="B461">
        <v>38</v>
      </c>
      <c r="C461">
        <v>929933</v>
      </c>
      <c r="D461">
        <v>7</v>
      </c>
      <c r="E461" t="s">
        <v>25</v>
      </c>
      <c r="F461">
        <v>3</v>
      </c>
      <c r="G461" t="s">
        <v>54</v>
      </c>
      <c r="H461" t="s">
        <v>45</v>
      </c>
      <c r="I461" t="s">
        <v>14</v>
      </c>
      <c r="J461" t="str">
        <f t="shared" si="28"/>
        <v>30-39</v>
      </c>
      <c r="K461" t="str">
        <f t="shared" si="29"/>
        <v>5-10 LPA</v>
      </c>
      <c r="L461" t="str">
        <f t="shared" si="30"/>
        <v>6-10 Years</v>
      </c>
      <c r="M461">
        <f t="shared" si="31"/>
        <v>0</v>
      </c>
    </row>
    <row r="462" spans="1:13" x14ac:dyDescent="0.25">
      <c r="A462" t="s">
        <v>887</v>
      </c>
      <c r="B462">
        <v>39</v>
      </c>
      <c r="C462">
        <v>1366244</v>
      </c>
      <c r="D462">
        <v>10</v>
      </c>
      <c r="E462" t="s">
        <v>25</v>
      </c>
      <c r="F462">
        <v>4</v>
      </c>
      <c r="G462" t="s">
        <v>66</v>
      </c>
      <c r="H462" t="s">
        <v>78</v>
      </c>
      <c r="I462" t="s">
        <v>14</v>
      </c>
      <c r="J462" t="str">
        <f t="shared" si="28"/>
        <v>30-39</v>
      </c>
      <c r="K462" t="str">
        <f t="shared" si="29"/>
        <v>10-15 LPA</v>
      </c>
      <c r="L462" t="str">
        <f t="shared" si="30"/>
        <v>6-10 Years</v>
      </c>
      <c r="M462">
        <f t="shared" si="31"/>
        <v>0</v>
      </c>
    </row>
    <row r="463" spans="1:13" x14ac:dyDescent="0.25">
      <c r="A463" t="s">
        <v>888</v>
      </c>
      <c r="B463">
        <v>21</v>
      </c>
      <c r="C463">
        <v>1072027</v>
      </c>
      <c r="D463">
        <v>0</v>
      </c>
      <c r="E463" t="s">
        <v>25</v>
      </c>
      <c r="F463">
        <v>3</v>
      </c>
      <c r="G463" t="s">
        <v>32</v>
      </c>
      <c r="H463" t="s">
        <v>31</v>
      </c>
      <c r="I463" t="s">
        <v>14</v>
      </c>
      <c r="J463" t="str">
        <f t="shared" si="28"/>
        <v>21-24</v>
      </c>
      <c r="K463" t="str">
        <f t="shared" si="29"/>
        <v>10-15 LPA</v>
      </c>
      <c r="L463" t="str">
        <f t="shared" si="30"/>
        <v>0-2 Years</v>
      </c>
      <c r="M463">
        <f t="shared" si="31"/>
        <v>0</v>
      </c>
    </row>
    <row r="464" spans="1:13" x14ac:dyDescent="0.25">
      <c r="A464" t="s">
        <v>890</v>
      </c>
      <c r="B464">
        <v>43</v>
      </c>
      <c r="C464">
        <v>1895167</v>
      </c>
      <c r="D464">
        <v>17</v>
      </c>
      <c r="E464" t="s">
        <v>25</v>
      </c>
      <c r="F464">
        <v>3</v>
      </c>
      <c r="G464" t="s">
        <v>32</v>
      </c>
      <c r="H464" t="s">
        <v>39</v>
      </c>
      <c r="I464" t="s">
        <v>22</v>
      </c>
      <c r="J464" t="str">
        <f t="shared" si="28"/>
        <v>40-49</v>
      </c>
      <c r="K464" t="str">
        <f t="shared" si="29"/>
        <v>15+ LPA</v>
      </c>
      <c r="L464" t="str">
        <f t="shared" si="30"/>
        <v>10+ Years</v>
      </c>
      <c r="M464">
        <f t="shared" si="31"/>
        <v>0</v>
      </c>
    </row>
    <row r="465" spans="1:13" x14ac:dyDescent="0.25">
      <c r="A465" t="s">
        <v>892</v>
      </c>
      <c r="B465">
        <v>26</v>
      </c>
      <c r="C465">
        <v>684015</v>
      </c>
      <c r="D465">
        <v>4</v>
      </c>
      <c r="E465" t="s">
        <v>25</v>
      </c>
      <c r="F465">
        <v>3</v>
      </c>
      <c r="G465" t="s">
        <v>40</v>
      </c>
      <c r="H465" t="s">
        <v>31</v>
      </c>
      <c r="I465" t="s">
        <v>14</v>
      </c>
      <c r="J465" t="str">
        <f t="shared" si="28"/>
        <v>25-29</v>
      </c>
      <c r="K465" t="str">
        <f t="shared" si="29"/>
        <v>5-10 LPA</v>
      </c>
      <c r="L465" t="str">
        <f t="shared" si="30"/>
        <v>3-5 Years</v>
      </c>
      <c r="M465">
        <f t="shared" si="31"/>
        <v>0</v>
      </c>
    </row>
    <row r="466" spans="1:13" x14ac:dyDescent="0.25">
      <c r="A466" t="s">
        <v>893</v>
      </c>
      <c r="B466">
        <v>40</v>
      </c>
      <c r="C466">
        <v>1818738</v>
      </c>
      <c r="D466">
        <v>13</v>
      </c>
      <c r="E466" t="s">
        <v>25</v>
      </c>
      <c r="F466">
        <v>3</v>
      </c>
      <c r="G466" t="s">
        <v>46</v>
      </c>
      <c r="H466" t="s">
        <v>85</v>
      </c>
      <c r="I466" t="s">
        <v>22</v>
      </c>
      <c r="J466" t="str">
        <f t="shared" si="28"/>
        <v>40-49</v>
      </c>
      <c r="K466" t="str">
        <f t="shared" si="29"/>
        <v>15+ LPA</v>
      </c>
      <c r="L466" t="str">
        <f t="shared" si="30"/>
        <v>10+ Years</v>
      </c>
      <c r="M466">
        <f t="shared" si="31"/>
        <v>0</v>
      </c>
    </row>
    <row r="467" spans="1:13" x14ac:dyDescent="0.25">
      <c r="A467" t="s">
        <v>894</v>
      </c>
      <c r="B467">
        <v>24</v>
      </c>
      <c r="C467">
        <v>1288048</v>
      </c>
      <c r="D467">
        <v>0</v>
      </c>
      <c r="E467" t="s">
        <v>19</v>
      </c>
      <c r="F467">
        <v>3</v>
      </c>
      <c r="G467" t="s">
        <v>32</v>
      </c>
      <c r="H467" t="s">
        <v>78</v>
      </c>
      <c r="I467" t="s">
        <v>14</v>
      </c>
      <c r="J467" t="str">
        <f t="shared" si="28"/>
        <v>21-24</v>
      </c>
      <c r="K467" t="str">
        <f t="shared" si="29"/>
        <v>10-15 LPA</v>
      </c>
      <c r="L467" t="str">
        <f t="shared" si="30"/>
        <v>0-2 Years</v>
      </c>
      <c r="M467">
        <f t="shared" si="31"/>
        <v>1</v>
      </c>
    </row>
    <row r="468" spans="1:13" x14ac:dyDescent="0.25">
      <c r="A468" t="s">
        <v>895</v>
      </c>
      <c r="B468">
        <v>26</v>
      </c>
      <c r="C468">
        <v>901020</v>
      </c>
      <c r="D468">
        <v>3</v>
      </c>
      <c r="E468" t="s">
        <v>25</v>
      </c>
      <c r="F468">
        <v>1</v>
      </c>
      <c r="G468" t="s">
        <v>136</v>
      </c>
      <c r="H468" t="s">
        <v>15</v>
      </c>
      <c r="I468" t="s">
        <v>14</v>
      </c>
      <c r="J468" t="str">
        <f t="shared" si="28"/>
        <v>25-29</v>
      </c>
      <c r="K468" t="str">
        <f t="shared" si="29"/>
        <v>5-10 LPA</v>
      </c>
      <c r="L468" t="str">
        <f t="shared" si="30"/>
        <v>3-5 Years</v>
      </c>
      <c r="M468">
        <f t="shared" si="31"/>
        <v>0</v>
      </c>
    </row>
    <row r="469" spans="1:13" x14ac:dyDescent="0.25">
      <c r="A469" t="s">
        <v>897</v>
      </c>
      <c r="B469">
        <v>33</v>
      </c>
      <c r="C469">
        <v>1707086</v>
      </c>
      <c r="D469">
        <v>10</v>
      </c>
      <c r="E469" t="s">
        <v>19</v>
      </c>
      <c r="F469">
        <v>3</v>
      </c>
      <c r="G469" t="s">
        <v>46</v>
      </c>
      <c r="H469" t="s">
        <v>31</v>
      </c>
      <c r="I469" t="s">
        <v>14</v>
      </c>
      <c r="J469" t="str">
        <f t="shared" si="28"/>
        <v>30-39</v>
      </c>
      <c r="K469" t="str">
        <f t="shared" si="29"/>
        <v>15+ LPA</v>
      </c>
      <c r="L469" t="str">
        <f t="shared" si="30"/>
        <v>6-10 Years</v>
      </c>
      <c r="M469">
        <f t="shared" si="31"/>
        <v>1</v>
      </c>
    </row>
    <row r="470" spans="1:13" x14ac:dyDescent="0.25">
      <c r="A470" t="s">
        <v>899</v>
      </c>
      <c r="B470">
        <v>41</v>
      </c>
      <c r="C470">
        <v>944540</v>
      </c>
      <c r="D470">
        <v>6</v>
      </c>
      <c r="E470" t="s">
        <v>19</v>
      </c>
      <c r="F470">
        <v>2</v>
      </c>
      <c r="G470" t="s">
        <v>136</v>
      </c>
      <c r="H470" t="s">
        <v>15</v>
      </c>
      <c r="I470" t="s">
        <v>14</v>
      </c>
      <c r="J470" t="str">
        <f t="shared" si="28"/>
        <v>40-49</v>
      </c>
      <c r="K470" t="str">
        <f t="shared" si="29"/>
        <v>5-10 LPA</v>
      </c>
      <c r="L470" t="str">
        <f t="shared" si="30"/>
        <v>6-10 Years</v>
      </c>
      <c r="M470">
        <f t="shared" si="31"/>
        <v>1</v>
      </c>
    </row>
    <row r="471" spans="1:13" x14ac:dyDescent="0.25">
      <c r="A471" t="s">
        <v>900</v>
      </c>
      <c r="B471">
        <v>27</v>
      </c>
      <c r="C471">
        <v>426097</v>
      </c>
      <c r="D471">
        <v>6</v>
      </c>
      <c r="E471" t="s">
        <v>25</v>
      </c>
      <c r="F471">
        <v>3</v>
      </c>
      <c r="G471" t="s">
        <v>74</v>
      </c>
      <c r="H471" t="s">
        <v>39</v>
      </c>
      <c r="I471" t="s">
        <v>22</v>
      </c>
      <c r="J471" t="str">
        <f t="shared" si="28"/>
        <v>25-29</v>
      </c>
      <c r="K471" t="str">
        <f t="shared" si="29"/>
        <v>Below 5 LPA</v>
      </c>
      <c r="L471" t="str">
        <f t="shared" si="30"/>
        <v>6-10 Years</v>
      </c>
      <c r="M471">
        <f t="shared" si="31"/>
        <v>0</v>
      </c>
    </row>
    <row r="472" spans="1:13" x14ac:dyDescent="0.25">
      <c r="A472" t="s">
        <v>902</v>
      </c>
      <c r="B472">
        <v>26</v>
      </c>
      <c r="C472">
        <v>1111193</v>
      </c>
      <c r="D472">
        <v>0</v>
      </c>
      <c r="E472" t="s">
        <v>19</v>
      </c>
      <c r="F472">
        <v>3</v>
      </c>
      <c r="G472" t="s">
        <v>32</v>
      </c>
      <c r="H472" t="s">
        <v>39</v>
      </c>
      <c r="I472" t="s">
        <v>14</v>
      </c>
      <c r="J472" t="str">
        <f t="shared" si="28"/>
        <v>25-29</v>
      </c>
      <c r="K472" t="str">
        <f t="shared" si="29"/>
        <v>10-15 LPA</v>
      </c>
      <c r="L472" t="str">
        <f t="shared" si="30"/>
        <v>0-2 Years</v>
      </c>
      <c r="M472">
        <f t="shared" si="31"/>
        <v>1</v>
      </c>
    </row>
    <row r="473" spans="1:13" x14ac:dyDescent="0.25">
      <c r="A473" t="s">
        <v>903</v>
      </c>
      <c r="B473">
        <v>29</v>
      </c>
      <c r="C473">
        <v>1235523</v>
      </c>
      <c r="D473">
        <v>7</v>
      </c>
      <c r="E473" t="s">
        <v>25</v>
      </c>
      <c r="F473">
        <v>3</v>
      </c>
      <c r="G473" t="s">
        <v>54</v>
      </c>
      <c r="H473" t="s">
        <v>23</v>
      </c>
      <c r="I473" t="s">
        <v>14</v>
      </c>
      <c r="J473" t="str">
        <f t="shared" si="28"/>
        <v>25-29</v>
      </c>
      <c r="K473" t="str">
        <f t="shared" si="29"/>
        <v>10-15 LPA</v>
      </c>
      <c r="L473" t="str">
        <f t="shared" si="30"/>
        <v>6-10 Years</v>
      </c>
      <c r="M473">
        <f t="shared" si="31"/>
        <v>0</v>
      </c>
    </row>
    <row r="474" spans="1:13" x14ac:dyDescent="0.25">
      <c r="A474" t="s">
        <v>905</v>
      </c>
      <c r="B474">
        <v>28</v>
      </c>
      <c r="C474">
        <v>973355</v>
      </c>
      <c r="D474">
        <v>0</v>
      </c>
      <c r="E474" t="s">
        <v>19</v>
      </c>
      <c r="F474">
        <v>5</v>
      </c>
      <c r="G474" t="s">
        <v>32</v>
      </c>
      <c r="H474" t="s">
        <v>50</v>
      </c>
      <c r="I474" t="s">
        <v>22</v>
      </c>
      <c r="J474" t="str">
        <f t="shared" si="28"/>
        <v>25-29</v>
      </c>
      <c r="K474" t="str">
        <f t="shared" si="29"/>
        <v>5-10 LPA</v>
      </c>
      <c r="L474" t="str">
        <f t="shared" si="30"/>
        <v>0-2 Years</v>
      </c>
      <c r="M474">
        <f t="shared" si="31"/>
        <v>1</v>
      </c>
    </row>
    <row r="475" spans="1:13" x14ac:dyDescent="0.25">
      <c r="A475" t="s">
        <v>907</v>
      </c>
      <c r="B475">
        <v>30</v>
      </c>
      <c r="C475">
        <v>1368803</v>
      </c>
      <c r="D475">
        <v>8</v>
      </c>
      <c r="E475" t="s">
        <v>25</v>
      </c>
      <c r="F475">
        <v>2</v>
      </c>
      <c r="G475" t="s">
        <v>16</v>
      </c>
      <c r="H475" t="s">
        <v>31</v>
      </c>
      <c r="I475" t="s">
        <v>14</v>
      </c>
      <c r="J475" t="str">
        <f t="shared" si="28"/>
        <v>30-39</v>
      </c>
      <c r="K475" t="str">
        <f t="shared" si="29"/>
        <v>10-15 LPA</v>
      </c>
      <c r="L475" t="str">
        <f t="shared" si="30"/>
        <v>6-10 Years</v>
      </c>
      <c r="M475">
        <f t="shared" si="31"/>
        <v>0</v>
      </c>
    </row>
    <row r="476" spans="1:13" x14ac:dyDescent="0.25">
      <c r="A476" t="s">
        <v>909</v>
      </c>
      <c r="B476">
        <v>36</v>
      </c>
      <c r="C476">
        <v>882377</v>
      </c>
      <c r="D476">
        <v>4</v>
      </c>
      <c r="E476" t="s">
        <v>25</v>
      </c>
      <c r="F476">
        <v>3</v>
      </c>
      <c r="G476" t="s">
        <v>74</v>
      </c>
      <c r="H476" t="s">
        <v>50</v>
      </c>
      <c r="I476" t="s">
        <v>14</v>
      </c>
      <c r="J476" t="str">
        <f t="shared" si="28"/>
        <v>30-39</v>
      </c>
      <c r="K476" t="str">
        <f t="shared" si="29"/>
        <v>5-10 LPA</v>
      </c>
      <c r="L476" t="str">
        <f t="shared" si="30"/>
        <v>3-5 Years</v>
      </c>
      <c r="M476">
        <f t="shared" si="31"/>
        <v>0</v>
      </c>
    </row>
    <row r="477" spans="1:13" x14ac:dyDescent="0.25">
      <c r="A477" t="s">
        <v>910</v>
      </c>
      <c r="B477">
        <v>31</v>
      </c>
      <c r="C477">
        <v>1479666</v>
      </c>
      <c r="D477">
        <v>10</v>
      </c>
      <c r="E477" t="s">
        <v>25</v>
      </c>
      <c r="F477">
        <v>3</v>
      </c>
      <c r="G477" t="s">
        <v>136</v>
      </c>
      <c r="H477" t="s">
        <v>23</v>
      </c>
      <c r="I477" t="s">
        <v>22</v>
      </c>
      <c r="J477" t="str">
        <f t="shared" si="28"/>
        <v>30-39</v>
      </c>
      <c r="K477" t="str">
        <f t="shared" si="29"/>
        <v>10-15 LPA</v>
      </c>
      <c r="L477" t="str">
        <f t="shared" si="30"/>
        <v>6-10 Years</v>
      </c>
      <c r="M477">
        <f t="shared" si="31"/>
        <v>0</v>
      </c>
    </row>
    <row r="478" spans="1:13" x14ac:dyDescent="0.25">
      <c r="A478" t="s">
        <v>911</v>
      </c>
      <c r="B478">
        <v>21</v>
      </c>
      <c r="C478">
        <v>396323</v>
      </c>
      <c r="D478">
        <v>0</v>
      </c>
      <c r="E478" t="s">
        <v>25</v>
      </c>
      <c r="F478">
        <v>4</v>
      </c>
      <c r="G478" t="s">
        <v>74</v>
      </c>
      <c r="H478" t="s">
        <v>45</v>
      </c>
      <c r="I478" t="s">
        <v>22</v>
      </c>
      <c r="J478" t="str">
        <f t="shared" si="28"/>
        <v>21-24</v>
      </c>
      <c r="K478" t="str">
        <f t="shared" si="29"/>
        <v>Below 5 LPA</v>
      </c>
      <c r="L478" t="str">
        <f t="shared" si="30"/>
        <v>0-2 Years</v>
      </c>
      <c r="M478">
        <f t="shared" si="31"/>
        <v>0</v>
      </c>
    </row>
    <row r="479" spans="1:13" x14ac:dyDescent="0.25">
      <c r="A479" t="s">
        <v>912</v>
      </c>
      <c r="B479">
        <v>30</v>
      </c>
      <c r="C479">
        <v>786562</v>
      </c>
      <c r="D479">
        <v>2</v>
      </c>
      <c r="E479" t="s">
        <v>25</v>
      </c>
      <c r="F479">
        <v>3</v>
      </c>
      <c r="G479" t="s">
        <v>54</v>
      </c>
      <c r="H479" t="s">
        <v>78</v>
      </c>
      <c r="I479" t="s">
        <v>14</v>
      </c>
      <c r="J479" t="str">
        <f t="shared" si="28"/>
        <v>30-39</v>
      </c>
      <c r="K479" t="str">
        <f t="shared" si="29"/>
        <v>5-10 LPA</v>
      </c>
      <c r="L479" t="str">
        <f t="shared" si="30"/>
        <v>0-2 Years</v>
      </c>
      <c r="M479">
        <f t="shared" si="31"/>
        <v>0</v>
      </c>
    </row>
    <row r="480" spans="1:13" x14ac:dyDescent="0.25">
      <c r="A480" t="s">
        <v>914</v>
      </c>
      <c r="B480">
        <v>33</v>
      </c>
      <c r="C480">
        <v>1068675</v>
      </c>
      <c r="D480">
        <v>3</v>
      </c>
      <c r="E480" t="s">
        <v>25</v>
      </c>
      <c r="F480">
        <v>3</v>
      </c>
      <c r="G480" t="s">
        <v>46</v>
      </c>
      <c r="H480" t="s">
        <v>78</v>
      </c>
      <c r="I480" t="s">
        <v>14</v>
      </c>
      <c r="J480" t="str">
        <f t="shared" si="28"/>
        <v>30-39</v>
      </c>
      <c r="K480" t="str">
        <f t="shared" si="29"/>
        <v>10-15 LPA</v>
      </c>
      <c r="L480" t="str">
        <f t="shared" si="30"/>
        <v>3-5 Years</v>
      </c>
      <c r="M480">
        <f t="shared" si="31"/>
        <v>0</v>
      </c>
    </row>
    <row r="481" spans="1:13" x14ac:dyDescent="0.25">
      <c r="A481" t="s">
        <v>916</v>
      </c>
      <c r="B481">
        <v>28</v>
      </c>
      <c r="C481">
        <v>988139</v>
      </c>
      <c r="D481">
        <v>0</v>
      </c>
      <c r="E481" t="s">
        <v>25</v>
      </c>
      <c r="F481">
        <v>3</v>
      </c>
      <c r="G481" t="s">
        <v>16</v>
      </c>
      <c r="H481" t="s">
        <v>78</v>
      </c>
      <c r="I481" t="s">
        <v>22</v>
      </c>
      <c r="J481" t="str">
        <f t="shared" si="28"/>
        <v>25-29</v>
      </c>
      <c r="K481" t="str">
        <f t="shared" si="29"/>
        <v>5-10 LPA</v>
      </c>
      <c r="L481" t="str">
        <f t="shared" si="30"/>
        <v>0-2 Years</v>
      </c>
      <c r="M481">
        <f t="shared" si="31"/>
        <v>0</v>
      </c>
    </row>
    <row r="482" spans="1:13" x14ac:dyDescent="0.25">
      <c r="A482" t="s">
        <v>918</v>
      </c>
      <c r="B482">
        <v>45</v>
      </c>
      <c r="C482">
        <v>1095527</v>
      </c>
      <c r="D482">
        <v>10</v>
      </c>
      <c r="E482" t="s">
        <v>25</v>
      </c>
      <c r="F482">
        <v>5</v>
      </c>
      <c r="G482" t="s">
        <v>66</v>
      </c>
      <c r="H482" t="s">
        <v>61</v>
      </c>
      <c r="I482" t="s">
        <v>22</v>
      </c>
      <c r="J482" t="str">
        <f t="shared" si="28"/>
        <v>40-49</v>
      </c>
      <c r="K482" t="str">
        <f t="shared" si="29"/>
        <v>10-15 LPA</v>
      </c>
      <c r="L482" t="str">
        <f t="shared" si="30"/>
        <v>6-10 Years</v>
      </c>
      <c r="M482">
        <f t="shared" si="31"/>
        <v>0</v>
      </c>
    </row>
    <row r="483" spans="1:13" x14ac:dyDescent="0.25">
      <c r="A483" t="s">
        <v>919</v>
      </c>
      <c r="B483">
        <v>35</v>
      </c>
      <c r="C483">
        <v>1272647</v>
      </c>
      <c r="D483">
        <v>12</v>
      </c>
      <c r="E483" t="s">
        <v>25</v>
      </c>
      <c r="F483">
        <v>2</v>
      </c>
      <c r="G483" t="s">
        <v>136</v>
      </c>
      <c r="H483" t="s">
        <v>50</v>
      </c>
      <c r="I483" t="s">
        <v>14</v>
      </c>
      <c r="J483" t="str">
        <f t="shared" si="28"/>
        <v>30-39</v>
      </c>
      <c r="K483" t="str">
        <f t="shared" si="29"/>
        <v>10-15 LPA</v>
      </c>
      <c r="L483" t="str">
        <f t="shared" si="30"/>
        <v>10+ Years</v>
      </c>
      <c r="M483">
        <f t="shared" si="31"/>
        <v>0</v>
      </c>
    </row>
    <row r="484" spans="1:13" x14ac:dyDescent="0.25">
      <c r="A484" t="s">
        <v>920</v>
      </c>
      <c r="B484">
        <v>26</v>
      </c>
      <c r="C484">
        <v>989628</v>
      </c>
      <c r="D484">
        <v>4</v>
      </c>
      <c r="E484" t="s">
        <v>25</v>
      </c>
      <c r="F484">
        <v>3</v>
      </c>
      <c r="G484" t="s">
        <v>66</v>
      </c>
      <c r="H484" t="s">
        <v>15</v>
      </c>
      <c r="I484" t="s">
        <v>14</v>
      </c>
      <c r="J484" t="str">
        <f t="shared" si="28"/>
        <v>25-29</v>
      </c>
      <c r="K484" t="str">
        <f t="shared" si="29"/>
        <v>5-10 LPA</v>
      </c>
      <c r="L484" t="str">
        <f t="shared" si="30"/>
        <v>3-5 Years</v>
      </c>
      <c r="M484">
        <f t="shared" si="31"/>
        <v>0</v>
      </c>
    </row>
    <row r="485" spans="1:13" x14ac:dyDescent="0.25">
      <c r="A485" t="s">
        <v>921</v>
      </c>
      <c r="B485">
        <v>33</v>
      </c>
      <c r="C485">
        <v>1499532</v>
      </c>
      <c r="D485">
        <v>4</v>
      </c>
      <c r="E485" t="s">
        <v>25</v>
      </c>
      <c r="F485">
        <v>3</v>
      </c>
      <c r="G485" t="s">
        <v>32</v>
      </c>
      <c r="H485" t="s">
        <v>85</v>
      </c>
      <c r="I485" t="s">
        <v>22</v>
      </c>
      <c r="J485" t="str">
        <f t="shared" si="28"/>
        <v>30-39</v>
      </c>
      <c r="K485" t="str">
        <f t="shared" si="29"/>
        <v>10-15 LPA</v>
      </c>
      <c r="L485" t="str">
        <f t="shared" si="30"/>
        <v>3-5 Years</v>
      </c>
      <c r="M485">
        <f t="shared" si="31"/>
        <v>0</v>
      </c>
    </row>
    <row r="486" spans="1:13" x14ac:dyDescent="0.25">
      <c r="A486" t="s">
        <v>923</v>
      </c>
      <c r="B486">
        <v>30</v>
      </c>
      <c r="C486">
        <v>1265722</v>
      </c>
      <c r="D486">
        <v>1</v>
      </c>
      <c r="E486" t="s">
        <v>25</v>
      </c>
      <c r="F486">
        <v>2</v>
      </c>
      <c r="G486" t="s">
        <v>32</v>
      </c>
      <c r="H486" t="s">
        <v>85</v>
      </c>
      <c r="I486" t="s">
        <v>14</v>
      </c>
      <c r="J486" t="str">
        <f t="shared" si="28"/>
        <v>30-39</v>
      </c>
      <c r="K486" t="str">
        <f t="shared" si="29"/>
        <v>10-15 LPA</v>
      </c>
      <c r="L486" t="str">
        <f t="shared" si="30"/>
        <v>0-2 Years</v>
      </c>
      <c r="M486">
        <f t="shared" si="31"/>
        <v>0</v>
      </c>
    </row>
    <row r="487" spans="1:13" x14ac:dyDescent="0.25">
      <c r="A487" t="s">
        <v>925</v>
      </c>
      <c r="B487">
        <v>34</v>
      </c>
      <c r="C487">
        <v>861278</v>
      </c>
      <c r="D487">
        <v>8</v>
      </c>
      <c r="E487" t="s">
        <v>25</v>
      </c>
      <c r="F487">
        <v>2</v>
      </c>
      <c r="G487" t="s">
        <v>40</v>
      </c>
      <c r="H487" t="s">
        <v>15</v>
      </c>
      <c r="I487" t="s">
        <v>22</v>
      </c>
      <c r="J487" t="str">
        <f t="shared" si="28"/>
        <v>30-39</v>
      </c>
      <c r="K487" t="str">
        <f t="shared" si="29"/>
        <v>5-10 LPA</v>
      </c>
      <c r="L487" t="str">
        <f t="shared" si="30"/>
        <v>6-10 Years</v>
      </c>
      <c r="M487">
        <f t="shared" si="31"/>
        <v>0</v>
      </c>
    </row>
    <row r="488" spans="1:13" x14ac:dyDescent="0.25">
      <c r="A488" t="s">
        <v>927</v>
      </c>
      <c r="B488">
        <v>35</v>
      </c>
      <c r="C488">
        <v>1304018</v>
      </c>
      <c r="D488">
        <v>5</v>
      </c>
      <c r="E488" t="s">
        <v>25</v>
      </c>
      <c r="F488">
        <v>4</v>
      </c>
      <c r="G488" t="s">
        <v>66</v>
      </c>
      <c r="H488" t="s">
        <v>45</v>
      </c>
      <c r="I488" t="s">
        <v>22</v>
      </c>
      <c r="J488" t="str">
        <f t="shared" si="28"/>
        <v>30-39</v>
      </c>
      <c r="K488" t="str">
        <f t="shared" si="29"/>
        <v>10-15 LPA</v>
      </c>
      <c r="L488" t="str">
        <f t="shared" si="30"/>
        <v>3-5 Years</v>
      </c>
      <c r="M488">
        <f t="shared" si="31"/>
        <v>0</v>
      </c>
    </row>
    <row r="489" spans="1:13" x14ac:dyDescent="0.25">
      <c r="A489" t="s">
        <v>928</v>
      </c>
      <c r="B489">
        <v>35</v>
      </c>
      <c r="C489">
        <v>1166723</v>
      </c>
      <c r="D489">
        <v>5</v>
      </c>
      <c r="E489" t="s">
        <v>19</v>
      </c>
      <c r="F489">
        <v>3</v>
      </c>
      <c r="G489" t="s">
        <v>136</v>
      </c>
      <c r="H489" t="s">
        <v>39</v>
      </c>
      <c r="I489" t="s">
        <v>14</v>
      </c>
      <c r="J489" t="str">
        <f t="shared" si="28"/>
        <v>30-39</v>
      </c>
      <c r="K489" t="str">
        <f t="shared" si="29"/>
        <v>10-15 LPA</v>
      </c>
      <c r="L489" t="str">
        <f t="shared" si="30"/>
        <v>3-5 Years</v>
      </c>
      <c r="M489">
        <f t="shared" si="31"/>
        <v>1</v>
      </c>
    </row>
    <row r="490" spans="1:13" x14ac:dyDescent="0.25">
      <c r="A490" t="s">
        <v>929</v>
      </c>
      <c r="B490">
        <v>30</v>
      </c>
      <c r="C490">
        <v>1136825</v>
      </c>
      <c r="D490">
        <v>7</v>
      </c>
      <c r="E490" t="s">
        <v>25</v>
      </c>
      <c r="F490">
        <v>3</v>
      </c>
      <c r="G490" t="s">
        <v>40</v>
      </c>
      <c r="H490" t="s">
        <v>15</v>
      </c>
      <c r="I490" t="s">
        <v>22</v>
      </c>
      <c r="J490" t="str">
        <f t="shared" si="28"/>
        <v>30-39</v>
      </c>
      <c r="K490" t="str">
        <f t="shared" si="29"/>
        <v>10-15 LPA</v>
      </c>
      <c r="L490" t="str">
        <f t="shared" si="30"/>
        <v>6-10 Years</v>
      </c>
      <c r="M490">
        <f t="shared" si="31"/>
        <v>0</v>
      </c>
    </row>
    <row r="491" spans="1:13" x14ac:dyDescent="0.25">
      <c r="A491" t="s">
        <v>931</v>
      </c>
      <c r="B491">
        <v>40</v>
      </c>
      <c r="C491">
        <v>1214119</v>
      </c>
      <c r="D491">
        <v>11</v>
      </c>
      <c r="E491" t="s">
        <v>25</v>
      </c>
      <c r="F491">
        <v>3</v>
      </c>
      <c r="G491" t="s">
        <v>54</v>
      </c>
      <c r="H491" t="s">
        <v>31</v>
      </c>
      <c r="I491" t="s">
        <v>14</v>
      </c>
      <c r="J491" t="str">
        <f t="shared" si="28"/>
        <v>40-49</v>
      </c>
      <c r="K491" t="str">
        <f t="shared" si="29"/>
        <v>10-15 LPA</v>
      </c>
      <c r="L491" t="str">
        <f t="shared" si="30"/>
        <v>10+ Years</v>
      </c>
      <c r="M491">
        <f t="shared" si="31"/>
        <v>0</v>
      </c>
    </row>
    <row r="492" spans="1:13" x14ac:dyDescent="0.25">
      <c r="A492" t="s">
        <v>933</v>
      </c>
      <c r="B492">
        <v>22</v>
      </c>
      <c r="C492">
        <v>1141035</v>
      </c>
      <c r="D492">
        <v>1</v>
      </c>
      <c r="E492" t="s">
        <v>19</v>
      </c>
      <c r="F492">
        <v>3</v>
      </c>
      <c r="G492" t="s">
        <v>32</v>
      </c>
      <c r="H492" t="s">
        <v>85</v>
      </c>
      <c r="I492" t="s">
        <v>14</v>
      </c>
      <c r="J492" t="str">
        <f t="shared" si="28"/>
        <v>21-24</v>
      </c>
      <c r="K492" t="str">
        <f t="shared" si="29"/>
        <v>10-15 LPA</v>
      </c>
      <c r="L492" t="str">
        <f t="shared" si="30"/>
        <v>0-2 Years</v>
      </c>
      <c r="M492">
        <f t="shared" si="31"/>
        <v>1</v>
      </c>
    </row>
    <row r="493" spans="1:13" x14ac:dyDescent="0.25">
      <c r="A493" t="s">
        <v>935</v>
      </c>
      <c r="B493">
        <v>35</v>
      </c>
      <c r="C493">
        <v>1282553</v>
      </c>
      <c r="D493">
        <v>7</v>
      </c>
      <c r="E493" t="s">
        <v>25</v>
      </c>
      <c r="F493">
        <v>3</v>
      </c>
      <c r="G493" t="s">
        <v>16</v>
      </c>
      <c r="H493" t="s">
        <v>78</v>
      </c>
      <c r="I493" t="s">
        <v>22</v>
      </c>
      <c r="J493" t="str">
        <f t="shared" si="28"/>
        <v>30-39</v>
      </c>
      <c r="K493" t="str">
        <f t="shared" si="29"/>
        <v>10-15 LPA</v>
      </c>
      <c r="L493" t="str">
        <f t="shared" si="30"/>
        <v>6-10 Years</v>
      </c>
      <c r="M493">
        <f t="shared" si="31"/>
        <v>0</v>
      </c>
    </row>
    <row r="494" spans="1:13" x14ac:dyDescent="0.25">
      <c r="A494" t="s">
        <v>936</v>
      </c>
      <c r="B494">
        <v>34</v>
      </c>
      <c r="C494">
        <v>882200</v>
      </c>
      <c r="D494">
        <v>0</v>
      </c>
      <c r="E494" t="s">
        <v>19</v>
      </c>
      <c r="F494">
        <v>3</v>
      </c>
      <c r="G494" t="s">
        <v>32</v>
      </c>
      <c r="H494" t="s">
        <v>39</v>
      </c>
      <c r="I494" t="s">
        <v>14</v>
      </c>
      <c r="J494" t="str">
        <f t="shared" si="28"/>
        <v>30-39</v>
      </c>
      <c r="K494" t="str">
        <f t="shared" si="29"/>
        <v>5-10 LPA</v>
      </c>
      <c r="L494" t="str">
        <f t="shared" si="30"/>
        <v>0-2 Years</v>
      </c>
      <c r="M494">
        <f t="shared" si="31"/>
        <v>1</v>
      </c>
    </row>
    <row r="495" spans="1:13" x14ac:dyDescent="0.25">
      <c r="A495" t="s">
        <v>938</v>
      </c>
      <c r="B495">
        <v>33</v>
      </c>
      <c r="C495">
        <v>1260755</v>
      </c>
      <c r="D495">
        <v>11</v>
      </c>
      <c r="E495" t="s">
        <v>19</v>
      </c>
      <c r="F495">
        <v>5</v>
      </c>
      <c r="G495" t="s">
        <v>74</v>
      </c>
      <c r="H495" t="s">
        <v>15</v>
      </c>
      <c r="I495" t="s">
        <v>14</v>
      </c>
      <c r="J495" t="str">
        <f t="shared" si="28"/>
        <v>30-39</v>
      </c>
      <c r="K495" t="str">
        <f t="shared" si="29"/>
        <v>10-15 LPA</v>
      </c>
      <c r="L495" t="str">
        <f t="shared" si="30"/>
        <v>10+ Years</v>
      </c>
      <c r="M495">
        <f t="shared" si="31"/>
        <v>1</v>
      </c>
    </row>
    <row r="496" spans="1:13" x14ac:dyDescent="0.25">
      <c r="A496" t="s">
        <v>940</v>
      </c>
      <c r="B496">
        <v>46</v>
      </c>
      <c r="C496">
        <v>1111080</v>
      </c>
      <c r="D496">
        <v>15</v>
      </c>
      <c r="E496" t="s">
        <v>19</v>
      </c>
      <c r="F496">
        <v>2</v>
      </c>
      <c r="G496" t="s">
        <v>66</v>
      </c>
      <c r="H496" t="s">
        <v>61</v>
      </c>
      <c r="I496" t="s">
        <v>14</v>
      </c>
      <c r="J496" t="str">
        <f t="shared" si="28"/>
        <v>40-49</v>
      </c>
      <c r="K496" t="str">
        <f t="shared" si="29"/>
        <v>10-15 LPA</v>
      </c>
      <c r="L496" t="str">
        <f t="shared" si="30"/>
        <v>10+ Years</v>
      </c>
      <c r="M496">
        <f t="shared" si="31"/>
        <v>1</v>
      </c>
    </row>
    <row r="497" spans="1:13" x14ac:dyDescent="0.25">
      <c r="A497" t="s">
        <v>942</v>
      </c>
      <c r="B497">
        <v>37</v>
      </c>
      <c r="C497">
        <v>1057045</v>
      </c>
      <c r="D497">
        <v>8</v>
      </c>
      <c r="E497" t="s">
        <v>25</v>
      </c>
      <c r="F497">
        <v>5</v>
      </c>
      <c r="G497" t="s">
        <v>40</v>
      </c>
      <c r="H497" t="s">
        <v>23</v>
      </c>
      <c r="I497" t="s">
        <v>14</v>
      </c>
      <c r="J497" t="str">
        <f t="shared" si="28"/>
        <v>30-39</v>
      </c>
      <c r="K497" t="str">
        <f t="shared" si="29"/>
        <v>10-15 LPA</v>
      </c>
      <c r="L497" t="str">
        <f t="shared" si="30"/>
        <v>6-10 Years</v>
      </c>
      <c r="M497">
        <f t="shared" si="31"/>
        <v>0</v>
      </c>
    </row>
    <row r="498" spans="1:13" x14ac:dyDescent="0.25">
      <c r="A498" t="s">
        <v>943</v>
      </c>
      <c r="B498">
        <v>29</v>
      </c>
      <c r="C498">
        <v>1057283</v>
      </c>
      <c r="D498">
        <v>1</v>
      </c>
      <c r="E498" t="s">
        <v>25</v>
      </c>
      <c r="F498">
        <v>3</v>
      </c>
      <c r="G498" t="s">
        <v>32</v>
      </c>
      <c r="H498" t="s">
        <v>31</v>
      </c>
      <c r="I498" t="s">
        <v>22</v>
      </c>
      <c r="J498" t="str">
        <f t="shared" si="28"/>
        <v>25-29</v>
      </c>
      <c r="K498" t="str">
        <f t="shared" si="29"/>
        <v>10-15 LPA</v>
      </c>
      <c r="L498" t="str">
        <f t="shared" si="30"/>
        <v>0-2 Years</v>
      </c>
      <c r="M498">
        <f t="shared" si="31"/>
        <v>0</v>
      </c>
    </row>
    <row r="499" spans="1:13" x14ac:dyDescent="0.25">
      <c r="A499" t="s">
        <v>945</v>
      </c>
      <c r="B499">
        <v>44</v>
      </c>
      <c r="C499">
        <v>1348630</v>
      </c>
      <c r="D499">
        <v>9</v>
      </c>
      <c r="E499" t="s">
        <v>25</v>
      </c>
      <c r="F499">
        <v>3</v>
      </c>
      <c r="G499" t="s">
        <v>16</v>
      </c>
      <c r="H499" t="s">
        <v>39</v>
      </c>
      <c r="I499" t="s">
        <v>14</v>
      </c>
      <c r="J499" t="str">
        <f t="shared" si="28"/>
        <v>40-49</v>
      </c>
      <c r="K499" t="str">
        <f t="shared" si="29"/>
        <v>10-15 LPA</v>
      </c>
      <c r="L499" t="str">
        <f t="shared" si="30"/>
        <v>6-10 Years</v>
      </c>
      <c r="M499">
        <f t="shared" si="31"/>
        <v>0</v>
      </c>
    </row>
    <row r="500" spans="1:13" x14ac:dyDescent="0.25">
      <c r="A500" t="s">
        <v>946</v>
      </c>
      <c r="B500">
        <v>22</v>
      </c>
      <c r="C500">
        <v>855867</v>
      </c>
      <c r="D500">
        <v>0</v>
      </c>
      <c r="E500" t="s">
        <v>25</v>
      </c>
      <c r="F500">
        <v>3</v>
      </c>
      <c r="G500" t="s">
        <v>16</v>
      </c>
      <c r="H500" t="s">
        <v>28</v>
      </c>
      <c r="I500" t="s">
        <v>14</v>
      </c>
      <c r="J500" t="str">
        <f t="shared" si="28"/>
        <v>21-24</v>
      </c>
      <c r="K500" t="str">
        <f t="shared" si="29"/>
        <v>5-10 LPA</v>
      </c>
      <c r="L500" t="str">
        <f t="shared" si="30"/>
        <v>0-2 Years</v>
      </c>
      <c r="M500">
        <f t="shared" si="31"/>
        <v>0</v>
      </c>
    </row>
    <row r="501" spans="1:13" x14ac:dyDescent="0.25">
      <c r="A501" t="s">
        <v>948</v>
      </c>
      <c r="B501">
        <v>39</v>
      </c>
      <c r="C501">
        <v>972899</v>
      </c>
      <c r="D501">
        <v>9</v>
      </c>
      <c r="E501" t="s">
        <v>25</v>
      </c>
      <c r="F501">
        <v>5</v>
      </c>
      <c r="G501" t="s">
        <v>40</v>
      </c>
      <c r="H501" t="s">
        <v>31</v>
      </c>
      <c r="I501" t="s">
        <v>22</v>
      </c>
      <c r="J501" t="str">
        <f t="shared" si="28"/>
        <v>30-39</v>
      </c>
      <c r="K501" t="str">
        <f t="shared" si="29"/>
        <v>5-10 LPA</v>
      </c>
      <c r="L501" t="str">
        <f t="shared" si="30"/>
        <v>6-10 Years</v>
      </c>
      <c r="M501">
        <f t="shared" si="3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3DB7-9B8F-48BF-ABFB-FD225AB3C955}">
  <dimension ref="A1:J39"/>
  <sheetViews>
    <sheetView tabSelected="1" zoomScale="70" zoomScaleNormal="70" workbookViewId="0">
      <selection activeCell="M22" sqref="M22"/>
    </sheetView>
  </sheetViews>
  <sheetFormatPr defaultRowHeight="15" x14ac:dyDescent="0.25"/>
  <cols>
    <col min="1" max="1" width="23.85546875" bestFit="1" customWidth="1"/>
    <col min="2" max="2" width="16.42578125" bestFit="1" customWidth="1"/>
    <col min="5" max="5" width="26.85546875" bestFit="1" customWidth="1"/>
    <col min="6" max="6" width="20.42578125" bestFit="1" customWidth="1"/>
    <col min="9" max="9" width="30.28515625" bestFit="1" customWidth="1"/>
    <col min="10" max="10" width="22.140625" bestFit="1" customWidth="1"/>
  </cols>
  <sheetData>
    <row r="1" spans="1:10" x14ac:dyDescent="0.25">
      <c r="A1" s="3" t="s">
        <v>957</v>
      </c>
    </row>
    <row r="2" spans="1:10" x14ac:dyDescent="0.25">
      <c r="A2" s="4" t="s">
        <v>958</v>
      </c>
      <c r="B2">
        <f>COUNTA('Data Preparation'!A2:A501)</f>
        <v>500</v>
      </c>
    </row>
    <row r="3" spans="1:10" x14ac:dyDescent="0.25">
      <c r="A3" s="4" t="s">
        <v>959</v>
      </c>
      <c r="B3">
        <f>COUNTIF('Data Preparation'!E2:E501,"Yes")</f>
        <v>114</v>
      </c>
    </row>
    <row r="4" spans="1:10" x14ac:dyDescent="0.25">
      <c r="A4" s="4" t="s">
        <v>960</v>
      </c>
      <c r="B4">
        <f>B3/B2</f>
        <v>0.22800000000000001</v>
      </c>
    </row>
    <row r="5" spans="1:10" x14ac:dyDescent="0.25">
      <c r="A5" s="4" t="s">
        <v>961</v>
      </c>
      <c r="B5">
        <f>AVERAGE('Data Preparation'!C2:C501)</f>
        <v>1101235.8999999999</v>
      </c>
    </row>
    <row r="7" spans="1:10" x14ac:dyDescent="0.25">
      <c r="A7" s="1" t="s">
        <v>10</v>
      </c>
      <c r="B7" t="s">
        <v>19</v>
      </c>
      <c r="E7" s="1" t="s">
        <v>10</v>
      </c>
      <c r="F7" t="s">
        <v>19</v>
      </c>
      <c r="I7" s="4" t="s">
        <v>982</v>
      </c>
    </row>
    <row r="8" spans="1:10" x14ac:dyDescent="0.25">
      <c r="A8" s="4" t="s">
        <v>962</v>
      </c>
      <c r="E8" s="4" t="s">
        <v>963</v>
      </c>
      <c r="I8" s="1" t="s">
        <v>949</v>
      </c>
      <c r="J8" t="s">
        <v>983</v>
      </c>
    </row>
    <row r="9" spans="1:10" x14ac:dyDescent="0.25">
      <c r="A9" s="1" t="s">
        <v>949</v>
      </c>
      <c r="B9" t="s">
        <v>951</v>
      </c>
      <c r="E9" s="1" t="s">
        <v>949</v>
      </c>
      <c r="F9" t="s">
        <v>951</v>
      </c>
      <c r="I9" s="2" t="s">
        <v>74</v>
      </c>
      <c r="J9">
        <v>774086.94545454544</v>
      </c>
    </row>
    <row r="10" spans="1:10" x14ac:dyDescent="0.25">
      <c r="A10" s="2" t="s">
        <v>74</v>
      </c>
      <c r="B10">
        <v>14</v>
      </c>
      <c r="E10" s="2" t="s">
        <v>22</v>
      </c>
      <c r="F10">
        <v>46</v>
      </c>
      <c r="I10" s="2" t="s">
        <v>16</v>
      </c>
      <c r="J10">
        <v>1141036.2363636363</v>
      </c>
    </row>
    <row r="11" spans="1:10" x14ac:dyDescent="0.25">
      <c r="A11" s="2" t="s">
        <v>16</v>
      </c>
      <c r="B11">
        <v>10</v>
      </c>
      <c r="E11" s="2" t="s">
        <v>14</v>
      </c>
      <c r="F11">
        <v>68</v>
      </c>
      <c r="I11" s="2" t="s">
        <v>66</v>
      </c>
      <c r="J11">
        <v>1011955.6511627907</v>
      </c>
    </row>
    <row r="12" spans="1:10" x14ac:dyDescent="0.25">
      <c r="A12" s="2" t="s">
        <v>66</v>
      </c>
      <c r="B12">
        <v>12</v>
      </c>
      <c r="E12" s="2" t="s">
        <v>950</v>
      </c>
      <c r="F12">
        <v>114</v>
      </c>
      <c r="I12" s="2" t="s">
        <v>32</v>
      </c>
      <c r="J12">
        <v>1438233.4786324787</v>
      </c>
    </row>
    <row r="13" spans="1:10" x14ac:dyDescent="0.25">
      <c r="A13" s="2" t="s">
        <v>32</v>
      </c>
      <c r="B13">
        <v>18</v>
      </c>
      <c r="I13" s="2" t="s">
        <v>136</v>
      </c>
      <c r="J13">
        <v>1097746.4883720931</v>
      </c>
    </row>
    <row r="14" spans="1:10" x14ac:dyDescent="0.25">
      <c r="A14" s="2" t="s">
        <v>136</v>
      </c>
      <c r="B14">
        <v>11</v>
      </c>
      <c r="I14" s="2" t="s">
        <v>54</v>
      </c>
      <c r="J14">
        <v>957695.09722222225</v>
      </c>
    </row>
    <row r="15" spans="1:10" x14ac:dyDescent="0.25">
      <c r="A15" s="2" t="s">
        <v>54</v>
      </c>
      <c r="B15">
        <v>17</v>
      </c>
      <c r="E15" s="1" t="s">
        <v>10</v>
      </c>
      <c r="F15" t="s">
        <v>19</v>
      </c>
      <c r="I15" s="2" t="s">
        <v>46</v>
      </c>
      <c r="J15">
        <v>1439956.15</v>
      </c>
    </row>
    <row r="16" spans="1:10" x14ac:dyDescent="0.25">
      <c r="A16" s="2" t="s">
        <v>46</v>
      </c>
      <c r="B16">
        <v>11</v>
      </c>
      <c r="E16" s="4" t="s">
        <v>970</v>
      </c>
      <c r="I16" s="2" t="s">
        <v>40</v>
      </c>
      <c r="J16">
        <v>796578.30666666664</v>
      </c>
    </row>
    <row r="17" spans="1:10" x14ac:dyDescent="0.25">
      <c r="A17" s="2" t="s">
        <v>40</v>
      </c>
      <c r="B17">
        <v>21</v>
      </c>
      <c r="E17" s="1" t="s">
        <v>949</v>
      </c>
      <c r="F17" t="s">
        <v>951</v>
      </c>
      <c r="I17" s="2" t="s">
        <v>950</v>
      </c>
      <c r="J17">
        <v>1101235.8999999999</v>
      </c>
    </row>
    <row r="18" spans="1:10" x14ac:dyDescent="0.25">
      <c r="A18" s="2" t="s">
        <v>950</v>
      </c>
      <c r="B18">
        <v>114</v>
      </c>
      <c r="E18" s="2" t="s">
        <v>971</v>
      </c>
      <c r="F18">
        <v>43</v>
      </c>
    </row>
    <row r="19" spans="1:10" x14ac:dyDescent="0.25">
      <c r="E19" s="2" t="s">
        <v>972</v>
      </c>
      <c r="F19">
        <v>12</v>
      </c>
    </row>
    <row r="20" spans="1:10" x14ac:dyDescent="0.25">
      <c r="A20" s="1" t="s">
        <v>10</v>
      </c>
      <c r="B20" t="s">
        <v>19</v>
      </c>
      <c r="E20" s="2" t="s">
        <v>973</v>
      </c>
      <c r="F20">
        <v>52</v>
      </c>
      <c r="I20" s="1" t="s">
        <v>10</v>
      </c>
      <c r="J20" t="s">
        <v>19</v>
      </c>
    </row>
    <row r="21" spans="1:10" x14ac:dyDescent="0.25">
      <c r="A21" s="4" t="s">
        <v>964</v>
      </c>
      <c r="E21" s="2" t="s">
        <v>974</v>
      </c>
      <c r="F21">
        <v>7</v>
      </c>
      <c r="I21" s="4" t="s">
        <v>981</v>
      </c>
    </row>
    <row r="22" spans="1:10" x14ac:dyDescent="0.25">
      <c r="A22" s="1" t="s">
        <v>949</v>
      </c>
      <c r="B22" t="s">
        <v>951</v>
      </c>
      <c r="E22" s="2" t="s">
        <v>950</v>
      </c>
      <c r="F22">
        <v>114</v>
      </c>
      <c r="I22" s="1" t="s">
        <v>949</v>
      </c>
      <c r="J22" t="s">
        <v>951</v>
      </c>
    </row>
    <row r="23" spans="1:10" x14ac:dyDescent="0.25">
      <c r="A23" s="2" t="s">
        <v>965</v>
      </c>
      <c r="B23">
        <v>29</v>
      </c>
      <c r="I23" s="2" t="s">
        <v>39</v>
      </c>
      <c r="J23">
        <v>12</v>
      </c>
    </row>
    <row r="24" spans="1:10" x14ac:dyDescent="0.25">
      <c r="A24" s="2" t="s">
        <v>966</v>
      </c>
      <c r="B24">
        <v>41</v>
      </c>
      <c r="I24" s="2" t="s">
        <v>28</v>
      </c>
      <c r="J24">
        <v>11</v>
      </c>
    </row>
    <row r="25" spans="1:10" x14ac:dyDescent="0.25">
      <c r="A25" s="2" t="s">
        <v>967</v>
      </c>
      <c r="B25">
        <v>28</v>
      </c>
      <c r="E25" s="1" t="s">
        <v>10</v>
      </c>
      <c r="F25" t="s">
        <v>19</v>
      </c>
      <c r="I25" s="2" t="s">
        <v>78</v>
      </c>
      <c r="J25">
        <v>5</v>
      </c>
    </row>
    <row r="26" spans="1:10" x14ac:dyDescent="0.25">
      <c r="A26" s="2" t="s">
        <v>968</v>
      </c>
      <c r="B26">
        <v>15</v>
      </c>
      <c r="E26" s="4" t="s">
        <v>976</v>
      </c>
      <c r="I26" s="2" t="s">
        <v>85</v>
      </c>
      <c r="J26">
        <v>11</v>
      </c>
    </row>
    <row r="27" spans="1:10" x14ac:dyDescent="0.25">
      <c r="A27" s="2" t="s">
        <v>969</v>
      </c>
      <c r="B27">
        <v>1</v>
      </c>
      <c r="E27" s="1" t="s">
        <v>949</v>
      </c>
      <c r="F27" t="s">
        <v>951</v>
      </c>
      <c r="I27" s="2" t="s">
        <v>45</v>
      </c>
      <c r="J27">
        <v>11</v>
      </c>
    </row>
    <row r="28" spans="1:10" x14ac:dyDescent="0.25">
      <c r="A28" s="2" t="s">
        <v>950</v>
      </c>
      <c r="B28">
        <v>114</v>
      </c>
      <c r="E28" s="2" t="s">
        <v>977</v>
      </c>
      <c r="F28">
        <v>57</v>
      </c>
      <c r="I28" s="2" t="s">
        <v>50</v>
      </c>
      <c r="J28">
        <v>14</v>
      </c>
    </row>
    <row r="29" spans="1:10" x14ac:dyDescent="0.25">
      <c r="E29" s="2" t="s">
        <v>978</v>
      </c>
      <c r="F29">
        <v>13</v>
      </c>
      <c r="I29" s="2" t="s">
        <v>31</v>
      </c>
      <c r="J29">
        <v>13</v>
      </c>
    </row>
    <row r="30" spans="1:10" x14ac:dyDescent="0.25">
      <c r="E30" s="2" t="s">
        <v>979</v>
      </c>
      <c r="F30">
        <v>17</v>
      </c>
      <c r="I30" s="2" t="s">
        <v>23</v>
      </c>
      <c r="J30">
        <v>7</v>
      </c>
    </row>
    <row r="31" spans="1:10" x14ac:dyDescent="0.25">
      <c r="A31" s="1" t="s">
        <v>10</v>
      </c>
      <c r="B31" t="s">
        <v>19</v>
      </c>
      <c r="E31" s="2" t="s">
        <v>980</v>
      </c>
      <c r="F31">
        <v>27</v>
      </c>
      <c r="I31" s="2" t="s">
        <v>61</v>
      </c>
      <c r="J31">
        <v>16</v>
      </c>
    </row>
    <row r="32" spans="1:10" x14ac:dyDescent="0.25">
      <c r="A32" s="4" t="s">
        <v>975</v>
      </c>
      <c r="E32" s="2" t="s">
        <v>950</v>
      </c>
      <c r="F32">
        <v>114</v>
      </c>
      <c r="I32" s="2" t="s">
        <v>15</v>
      </c>
      <c r="J32">
        <v>14</v>
      </c>
    </row>
    <row r="33" spans="1:10" x14ac:dyDescent="0.25">
      <c r="A33" s="1" t="s">
        <v>949</v>
      </c>
      <c r="B33" t="s">
        <v>951</v>
      </c>
      <c r="I33" s="2" t="s">
        <v>950</v>
      </c>
      <c r="J33">
        <v>114</v>
      </c>
    </row>
    <row r="34" spans="1:10" x14ac:dyDescent="0.25">
      <c r="A34" s="2">
        <v>1</v>
      </c>
      <c r="B34">
        <v>5</v>
      </c>
    </row>
    <row r="35" spans="1:10" x14ac:dyDescent="0.25">
      <c r="A35" s="2">
        <v>2</v>
      </c>
      <c r="B35">
        <v>21</v>
      </c>
    </row>
    <row r="36" spans="1:10" x14ac:dyDescent="0.25">
      <c r="A36" s="2">
        <v>3</v>
      </c>
      <c r="B36">
        <v>62</v>
      </c>
    </row>
    <row r="37" spans="1:10" x14ac:dyDescent="0.25">
      <c r="A37" s="2">
        <v>4</v>
      </c>
      <c r="B37">
        <v>20</v>
      </c>
    </row>
    <row r="38" spans="1:10" x14ac:dyDescent="0.25">
      <c r="A38" s="2">
        <v>5</v>
      </c>
      <c r="B38">
        <v>6</v>
      </c>
    </row>
    <row r="39" spans="1:10" x14ac:dyDescent="0.25">
      <c r="A39" s="2" t="s">
        <v>950</v>
      </c>
      <c r="B39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FA58-4280-4F1A-A089-88255A26ED59}">
  <dimension ref="B1:L6"/>
  <sheetViews>
    <sheetView showGridLines="0" zoomScale="85" zoomScaleNormal="85" workbookViewId="0">
      <selection activeCell="S49" sqref="S49"/>
    </sheetView>
  </sheetViews>
  <sheetFormatPr defaultRowHeight="15" x14ac:dyDescent="0.25"/>
  <cols>
    <col min="2" max="2" width="9.85546875" customWidth="1"/>
    <col min="3" max="3" width="9.5703125" customWidth="1"/>
    <col min="6" max="6" width="9.5703125" customWidth="1"/>
    <col min="9" max="9" width="7.7109375" customWidth="1"/>
    <col min="11" max="11" width="17.5703125" customWidth="1"/>
    <col min="12" max="12" width="2.140625" customWidth="1"/>
  </cols>
  <sheetData>
    <row r="1" spans="2:12" ht="31.5" x14ac:dyDescent="0.5">
      <c r="B1" s="5" t="s">
        <v>984</v>
      </c>
    </row>
    <row r="2" spans="2:12" ht="15.75" x14ac:dyDescent="0.25">
      <c r="B2" s="6" t="s">
        <v>985</v>
      </c>
    </row>
    <row r="3" spans="2:12" ht="15.75" thickBot="1" x14ac:dyDescent="0.3"/>
    <row r="4" spans="2:12" ht="15.75" x14ac:dyDescent="0.25">
      <c r="B4" s="11" t="s">
        <v>986</v>
      </c>
      <c r="C4" s="7"/>
      <c r="E4" s="11" t="s">
        <v>987</v>
      </c>
      <c r="F4" s="7"/>
      <c r="H4" s="11" t="s">
        <v>988</v>
      </c>
      <c r="I4" s="7"/>
      <c r="K4" s="18" t="s">
        <v>961</v>
      </c>
      <c r="L4" s="14"/>
    </row>
    <row r="5" spans="2:12" ht="17.25" customHeight="1" x14ac:dyDescent="0.25">
      <c r="B5" s="12">
        <f>'Pivot Analysis'!B2</f>
        <v>500</v>
      </c>
      <c r="C5" s="8"/>
      <c r="E5" s="12">
        <f>'Pivot Analysis'!B3</f>
        <v>114</v>
      </c>
      <c r="F5" s="8"/>
      <c r="H5" s="12">
        <f>'Pivot Analysis'!B4</f>
        <v>0.22800000000000001</v>
      </c>
      <c r="I5" s="8"/>
      <c r="K5" s="12">
        <f>'Pivot Analysis'!B5</f>
        <v>1101235.8999999999</v>
      </c>
      <c r="L5" s="15"/>
    </row>
    <row r="6" spans="2:12" ht="15.75" thickBot="1" x14ac:dyDescent="0.3">
      <c r="B6" s="9"/>
      <c r="C6" s="10"/>
      <c r="E6" s="9"/>
      <c r="F6" s="10"/>
      <c r="H6" s="13"/>
      <c r="I6" s="10"/>
      <c r="K6" s="16"/>
      <c r="L6" s="1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Raw Data</vt:lpstr>
      <vt:lpstr>Data Preparation</vt:lpstr>
      <vt:lpstr>Pivot Analysis</vt:lpstr>
      <vt:lpstr>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Chaudhary</dc:creator>
  <cp:lastModifiedBy>Rahul Chaudhary</cp:lastModifiedBy>
  <dcterms:created xsi:type="dcterms:W3CDTF">2026-07-16T12:00:10Z</dcterms:created>
  <dcterms:modified xsi:type="dcterms:W3CDTF">2026-07-17T08:18:11Z</dcterms:modified>
</cp:coreProperties>
</file>